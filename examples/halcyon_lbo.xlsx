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Inputs" sheetId="3" r:id="rId3"/>
    <sheet name="Transaction" sheetId="4" r:id="rId4"/>
    <sheet name="Operating" sheetId="5" r:id="rId5"/>
    <sheet name="Debt" sheetId="6" r:id="rId6"/>
    <sheet name="Returns" sheetId="7" r:id="rId7"/>
    <sheet name="Sensitivity" sheetId="8" r:id="rId8"/>
    <sheet name="Checks" sheetId="9" r:id="rId9"/>
  </sheets>
  <definedNames>
    <definedName name="_xlnm.Print_Area" localSheetId="1">Summary!$A$1:$K$72</definedName>
  </definedNames>
  <calcPr calcId="124519" fullCalcOnLoad="1"/>
</workbook>
</file>

<file path=xl/sharedStrings.xml><?xml version="1.0" encoding="utf-8"?>
<sst xmlns="http://schemas.openxmlformats.org/spreadsheetml/2006/main" count="591" uniqueCount="356">
  <si>
    <t>Halcyon Packaging Co. | Inputs</t>
  </si>
  <si>
    <t>USD millions unless stated. Blue cells on a cream fill are hard-coded inputs; everything else in the workbook is a formula.</t>
  </si>
  <si>
    <t>Scenario selector</t>
  </si>
  <si>
    <t>Active case (choose from dropdown)</t>
  </si>
  <si>
    <t>Base</t>
  </si>
  <si>
    <t>Case index</t>
  </si>
  <si>
    <t>Case 1 name</t>
  </si>
  <si>
    <t>Case 2 name</t>
  </si>
  <si>
    <t>Management</t>
  </si>
  <si>
    <t>Case 3 name</t>
  </si>
  <si>
    <t>Downside</t>
  </si>
  <si>
    <t>Transaction</t>
  </si>
  <si>
    <t>Target company (fictional)</t>
  </si>
  <si>
    <t>Halcyon Packaging Co.</t>
  </si>
  <si>
    <t>Closing fiscal year (LTM period)</t>
  </si>
  <si>
    <t>year</t>
  </si>
  <si>
    <t>LTM revenue</t>
  </si>
  <si>
    <t>$mm</t>
  </si>
  <si>
    <t>LTM EBITDA</t>
  </si>
  <si>
    <t>Entry EV / LTM EBITDA</t>
  </si>
  <si>
    <t>x</t>
  </si>
  <si>
    <t>Transaction fees</t>
  </si>
  <si>
    <t>% of EV</t>
  </si>
  <si>
    <t>Financing fees</t>
  </si>
  <si>
    <t>% of committed debt</t>
  </si>
  <si>
    <t>Financing fee amortization period</t>
  </si>
  <si>
    <t>years</t>
  </si>
  <si>
    <t>Minimum cash (funded at close)</t>
  </si>
  <si>
    <t>Management rollover equity</t>
  </si>
  <si>
    <t>Management option pool</t>
  </si>
  <si>
    <t>% of equity gain</t>
  </si>
  <si>
    <t>Financing</t>
  </si>
  <si>
    <t>Revolver commitment</t>
  </si>
  <si>
    <t>Revolver drawn at close</t>
  </si>
  <si>
    <t>Senior term loan</t>
  </si>
  <si>
    <t>x LTM EBITDA</t>
  </si>
  <si>
    <t>Subordinated notes</t>
  </si>
  <si>
    <t>Base rate</t>
  </si>
  <si>
    <t>%</t>
  </si>
  <si>
    <t>Revolver spread</t>
  </si>
  <si>
    <t>Term loan spread</t>
  </si>
  <si>
    <t>Revolver commitment fee (undrawn)</t>
  </si>
  <si>
    <t>Sub notes coupon, cash pay</t>
  </si>
  <si>
    <t>Sub notes coupon, if PIK</t>
  </si>
  <si>
    <t>Sub notes PIK toggle (1 = PIK, 0 = cash)</t>
  </si>
  <si>
    <t>switch</t>
  </si>
  <si>
    <t>Interest income on cash</t>
  </si>
  <si>
    <t>Cash sweep</t>
  </si>
  <si>
    <t>% of excess cash flow</t>
  </si>
  <si>
    <t>Projection year</t>
  </si>
  <si>
    <t/>
  </si>
  <si>
    <t>Term loan mandatory amortization</t>
  </si>
  <si>
    <t>% of original</t>
  </si>
  <si>
    <t>Operating (all cases)</t>
  </si>
  <si>
    <t>D&amp;A</t>
  </si>
  <si>
    <t>% of revenue</t>
  </si>
  <si>
    <t>Net working capital investment</t>
  </si>
  <si>
    <t>% of revenue change</t>
  </si>
  <si>
    <t>Cash tax rate</t>
  </si>
  <si>
    <t>% of EBT</t>
  </si>
  <si>
    <t>Exit and analysis</t>
  </si>
  <si>
    <t>Exit year (3 to 7)</t>
  </si>
  <si>
    <t>Sensitivity step for multiples</t>
  </si>
  <si>
    <t>Exit EV / EBITDA (selected case)</t>
  </si>
  <si>
    <t>Operating cases</t>
  </si>
  <si>
    <t>Revenue growth</t>
  </si>
  <si>
    <t>% YoY</t>
  </si>
  <si>
    <t>EBITDA margin</t>
  </si>
  <si>
    <t>Capex</t>
  </si>
  <si>
    <t>Exit EV / EBITDA</t>
  </si>
  <si>
    <t>Selected case (feeds the model)</t>
  </si>
  <si>
    <t>Transaction | purchase price, sources and uses, capitalization</t>
  </si>
  <si>
    <t>USD millions. Fees are paid at close; financing fees are capitalized and amortized.</t>
  </si>
  <si>
    <t>Purchase price and fees</t>
  </si>
  <si>
    <t>Enterprise value</t>
  </si>
  <si>
    <t>Transaction fees (% of EV)</t>
  </si>
  <si>
    <t>Financing fees (% of committed debt)</t>
  </si>
  <si>
    <t>Committed debt (revolver + term loan + notes)</t>
  </si>
  <si>
    <t>Minimum cash funded at close</t>
  </si>
  <si>
    <t>Sources of funds</t>
  </si>
  <si>
    <t>% of total</t>
  </si>
  <si>
    <t>Rate</t>
  </si>
  <si>
    <t>Sources</t>
  </si>
  <si>
    <t>Uses of funds</t>
  </si>
  <si>
    <t>Uses</t>
  </si>
  <si>
    <t>Revolver (drawn at close)</t>
  </si>
  <si>
    <t>Sponsor equity (plug)</t>
  </si>
  <si>
    <t>Purchase of enterprise value</t>
  </si>
  <si>
    <t>Minimum cash to balance sheet</t>
  </si>
  <si>
    <t>Total sources</t>
  </si>
  <si>
    <t>Total uses</t>
  </si>
  <si>
    <t>Check: total sources less total uses</t>
  </si>
  <si>
    <t>Capitalization at close</t>
  </si>
  <si>
    <t>Tranche</t>
  </si>
  <si>
    <t>% of total cap</t>
  </si>
  <si>
    <t>Revolver</t>
  </si>
  <si>
    <t>Total senior debt</t>
  </si>
  <si>
    <t>Total debt</t>
  </si>
  <si>
    <t>Less: cash</t>
  </si>
  <si>
    <t>Net debt</t>
  </si>
  <si>
    <t>Total equity (sponsor + rollover)</t>
  </si>
  <si>
    <t>Total capitalization (debt + equity)</t>
  </si>
  <si>
    <t>Ownership at close</t>
  </si>
  <si>
    <t>Sponsor</t>
  </si>
  <si>
    <t>Management rollover</t>
  </si>
  <si>
    <t>Operating projections and free cash flow</t>
  </si>
  <si>
    <t>USD millions. Costs are shown as positive numbers and subtracted. Taxes are computed after interest.</t>
  </si>
  <si>
    <t>Fiscal year</t>
  </si>
  <si>
    <t>Linked assumptions</t>
  </si>
  <si>
    <t>Closing fiscal year</t>
  </si>
  <si>
    <t>D&amp;A (% of revenue)</t>
  </si>
  <si>
    <t>NWC investment (% of revenue change)</t>
  </si>
  <si>
    <t>Capex (% of revenue, selected case)</t>
  </si>
  <si>
    <t>Financing fee amortization (years)</t>
  </si>
  <si>
    <t>Capitalized financing fees</t>
  </si>
  <si>
    <t>Operating build</t>
  </si>
  <si>
    <t>Revenue</t>
  </si>
  <si>
    <t>EBITDA</t>
  </si>
  <si>
    <t>Less: D&amp;A</t>
  </si>
  <si>
    <t>EBIT</t>
  </si>
  <si>
    <t>Increase in net working capital</t>
  </si>
  <si>
    <t>Taxes and net income</t>
  </si>
  <si>
    <t>Less: financing fee amortization</t>
  </si>
  <si>
    <t>Less: total interest expense (cash + PIK)</t>
  </si>
  <si>
    <t>Plus: interest income</t>
  </si>
  <si>
    <t>Pre-tax income</t>
  </si>
  <si>
    <t>Less: cash taxes</t>
  </si>
  <si>
    <t>Net income</t>
  </si>
  <si>
    <t>Free cash flow</t>
  </si>
  <si>
    <t>Less: capex</t>
  </si>
  <si>
    <t>Less: increase in NWC</t>
  </si>
  <si>
    <t>Free cash flow before debt service</t>
  </si>
  <si>
    <t>Less: net cash interest</t>
  </si>
  <si>
    <t>Free cash flow after interest</t>
  </si>
  <si>
    <t>Less: mandatory term loan amortization</t>
  </si>
  <si>
    <t>Free cash flow after debt service</t>
  </si>
  <si>
    <t>Cash conversion (FCF before debt service / EBITDA)</t>
  </si>
  <si>
    <t>Debt schedules, interest and credit statistics</t>
  </si>
  <si>
    <t>USD millions. Interest accrues on opening balances (no circular references). Cash waterfall: mandatory amortization, revolver, then the cash sweep.</t>
  </si>
  <si>
    <t>Chart label</t>
  </si>
  <si>
    <t>Close</t>
  </si>
  <si>
    <t>Revolver rate (base + spread)</t>
  </si>
  <si>
    <t>Commitment fee on undrawn revolver</t>
  </si>
  <si>
    <t>Term loan rate (base + spread)</t>
  </si>
  <si>
    <t>Sub notes rate (cash or PIK coupon)</t>
  </si>
  <si>
    <t>Sub notes PIK switch</t>
  </si>
  <si>
    <t>Interest income rate</t>
  </si>
  <si>
    <t>Cash sweep (% of excess cash flow)</t>
  </si>
  <si>
    <t>Minimum cash</t>
  </si>
  <si>
    <t>Original term loan</t>
  </si>
  <si>
    <t>Cash waterfall</t>
  </si>
  <si>
    <t>Opening cash</t>
  </si>
  <si>
    <t>Cash before revolver and sweep</t>
  </si>
  <si>
    <t>Cash above minimum (before revolver)</t>
  </si>
  <si>
    <t>Cash above minimum (after revolver)</t>
  </si>
  <si>
    <t>Excess cash flow subject to sweep</t>
  </si>
  <si>
    <t>Closing cash</t>
  </si>
  <si>
    <t>Opening balance</t>
  </si>
  <si>
    <t>Draw</t>
  </si>
  <si>
    <t>Repayment</t>
  </si>
  <si>
    <t>Closing balance</t>
  </si>
  <si>
    <t>Mandatory amortization (% of original)</t>
  </si>
  <si>
    <t>Mandatory amortization</t>
  </si>
  <si>
    <t>PIK accrual</t>
  </si>
  <si>
    <t>Interest (on opening balances)</t>
  </si>
  <si>
    <t>Revolver interest</t>
  </si>
  <si>
    <t>Term loan interest</t>
  </si>
  <si>
    <t>Sub notes interest (total coupon)</t>
  </si>
  <si>
    <t>of which paid in cash</t>
  </si>
  <si>
    <t>of which PIK (accrues to principal)</t>
  </si>
  <si>
    <t>Gross cash interest</t>
  </si>
  <si>
    <t>Net cash interest</t>
  </si>
  <si>
    <t>Total interest expense (cash + PIK)</t>
  </si>
  <si>
    <t>Debt summary</t>
  </si>
  <si>
    <t>Senior debt (revolver + term loan)</t>
  </si>
  <si>
    <t>Cash</t>
  </si>
  <si>
    <t>Credit statistics</t>
  </si>
  <si>
    <t>Cash taxes</t>
  </si>
  <si>
    <t>Total debt / EBITDA</t>
  </si>
  <si>
    <t>Senior debt / EBITDA</t>
  </si>
  <si>
    <t>Net debt / EBITDA</t>
  </si>
  <si>
    <t>Interest coverage (EBITDA / gross cash interest)</t>
  </si>
  <si>
    <t>(EBITDA - capex) / gross cash interest</t>
  </si>
  <si>
    <t>Fixed charge coverage (FCCR)</t>
  </si>
  <si>
    <t>Exit, returns and value creation bridge</t>
  </si>
  <si>
    <t>USD millions. Sponsor IRR is the closed form MOIC^(1/years) - 1, cross-checked against Excel's IRR() on the cash flow row.</t>
  </si>
  <si>
    <t>Linked inputs</t>
  </si>
  <si>
    <t>Exit year</t>
  </si>
  <si>
    <t>Entry EV / EBITDA</t>
  </si>
  <si>
    <t>LTM EBITDA at entry</t>
  </si>
  <si>
    <t>Total entry equity (sponsor + rollover)</t>
  </si>
  <si>
    <t>Sponsor equity invested</t>
  </si>
  <si>
    <t>Option pool (% of equity gain)</t>
  </si>
  <si>
    <t>Net debt at close</t>
  </si>
  <si>
    <t>Transaction and financing fees</t>
  </si>
  <si>
    <t>Exit valuation</t>
  </si>
  <si>
    <t>EBITDA in exit year</t>
  </si>
  <si>
    <t>Exit enterprise value</t>
  </si>
  <si>
    <t>Less: revolver</t>
  </si>
  <si>
    <t>Less: senior term loan</t>
  </si>
  <si>
    <t>Less: subordinated notes (incl. PIK)</t>
  </si>
  <si>
    <t>Plus: cash</t>
  </si>
  <si>
    <t>Net debt at exit</t>
  </si>
  <si>
    <t>Exit equity value (100%)</t>
  </si>
  <si>
    <t>Distribution and sponsor returns</t>
  </si>
  <si>
    <t>Equity gain (exit equity less entry equity)</t>
  </si>
  <si>
    <t>Management option pool value</t>
  </si>
  <si>
    <t>Equity to investors (sponsor + rollover)</t>
  </si>
  <si>
    <t>Sponsor ownership of investor equity</t>
  </si>
  <si>
    <t>Sponsor exit proceeds</t>
  </si>
  <si>
    <t>Rollover holder exit proceeds</t>
  </si>
  <si>
    <t>Sponsor MOIC</t>
  </si>
  <si>
    <t>Sponsor IRR</t>
  </si>
  <si>
    <t>Value creation bridge (equity gain, 100% of equity)</t>
  </si>
  <si>
    <t>Convention: EBITDA growth at the entry multiple; multiple expansion on exit EBITDA</t>
  </si>
  <si>
    <t>% of gain</t>
  </si>
  <si>
    <t>x entry equity</t>
  </si>
  <si>
    <t>Entry equity (sponsor + rollover)</t>
  </si>
  <si>
    <t>EBITDA growth (x entry multiple)</t>
  </si>
  <si>
    <t>Multiple expansion (x exit EBITDA)</t>
  </si>
  <si>
    <t>Net debt paydown (net debt at close less at exit)</t>
  </si>
  <si>
    <t>Transaction and financing costs</t>
  </si>
  <si>
    <t>Total equity gain</t>
  </si>
  <si>
    <t>Exit equity value</t>
  </si>
  <si>
    <t>Check: bridge exit equity less valuation exit equity</t>
  </si>
  <si>
    <t>Less: management option pool dilution</t>
  </si>
  <si>
    <t>Gain to investors (sponsor + rollover)</t>
  </si>
  <si>
    <t>Sponsor share</t>
  </si>
  <si>
    <t>Sponsor equity gain</t>
  </si>
  <si>
    <t>Check: sponsor gain less (proceeds less equity invested)</t>
  </si>
  <si>
    <t>Sponsor cash flows</t>
  </si>
  <si>
    <t>Year</t>
  </si>
  <si>
    <t>Sponsor equity cash flow</t>
  </si>
  <si>
    <t>Sponsor IRR using Excel IRR() on the row above</t>
  </si>
  <si>
    <t>Bridge chart data (waterfall helper)</t>
  </si>
  <si>
    <t>Step</t>
  </si>
  <si>
    <t>Base (hidden)</t>
  </si>
  <si>
    <t>Equity</t>
  </si>
  <si>
    <t>Increase</t>
  </si>
  <si>
    <t>Decrease</t>
  </si>
  <si>
    <t>Level after</t>
  </si>
  <si>
    <t>Entry equity</t>
  </si>
  <si>
    <t>EBITDA growth</t>
  </si>
  <si>
    <t>Multiple expansion</t>
  </si>
  <si>
    <t>Net debt paydown</t>
  </si>
  <si>
    <t>Transaction costs</t>
  </si>
  <si>
    <t>Exit equity</t>
  </si>
  <si>
    <t>Sensitivity analysis (live formulas, no data tables)</t>
  </si>
  <si>
    <t>Entry multiple, exit multiple and exit year leave the debt schedule unchanged, so each grid cell is a closed-form formula on the model rows below.</t>
  </si>
  <si>
    <t>Multiple step</t>
  </si>
  <si>
    <t>Total debt at close</t>
  </si>
  <si>
    <t>Total entry equity</t>
  </si>
  <si>
    <t>EBITDA by year</t>
  </si>
  <si>
    <t>Net debt by year</t>
  </si>
  <si>
    <t>Grid 1: entry multiple (rows) vs exit multiple (columns), exit year per Inputs</t>
  </si>
  <si>
    <t>Entry \ Exit</t>
  </si>
  <si>
    <t>Exit equity at that exit multiple (100%)</t>
  </si>
  <si>
    <t>Grid 1: sponsor IRR</t>
  </si>
  <si>
    <t>Grid 2: exit multiple (rows) vs exit year (columns), entry multiple per Inputs</t>
  </si>
  <si>
    <t>Exit x \ Year</t>
  </si>
  <si>
    <t>Grid 2: sponsor IRR</t>
  </si>
  <si>
    <t>Leverage vs exit year changes the debt schedule, so it is solved by the Python engine (see `lbo sens` and the README).</t>
  </si>
  <si>
    <t>Model integrity checks</t>
  </si>
  <si>
    <t>Each check reports a violation size; it passes when the size is within tolerance.</t>
  </si>
  <si>
    <t>Check</t>
  </si>
  <si>
    <t>Violation</t>
  </si>
  <si>
    <t>Tolerance</t>
  </si>
  <si>
    <t>Status</t>
  </si>
  <si>
    <t>Sources equal uses</t>
  </si>
  <si>
    <t>Debt plus equity equals total uses</t>
  </si>
  <si>
    <t>Debt balances never negative (revolver, term loan, notes)</t>
  </si>
  <si>
    <t>Cash never below minimum</t>
  </si>
  <si>
    <t>Revolver never above commitment</t>
  </si>
  <si>
    <t>Revolver roll-forward (closing = opening + draws - repayments)</t>
  </si>
  <si>
    <t>Term loan roll-forward (closing = opening - amortization - sweep)</t>
  </si>
  <si>
    <t>Sub notes roll-forward (closing = opening + PIK)</t>
  </si>
  <si>
    <t>Cash roll-forward (free cash flow, revolver, sweep)</t>
  </si>
  <si>
    <t>Net debt roll-forward (opening - FCF after interest + PIK)</t>
  </si>
  <si>
    <t>Value creation bridge sums to equity gain</t>
  </si>
  <si>
    <t>Sponsor bridge reconciles to proceeds less equity</t>
  </si>
  <si>
    <t>Closed-form IRR equals Excel IRR()</t>
  </si>
  <si>
    <t>Grid 1 centre MOIC equals model MOIC</t>
  </si>
  <si>
    <t>Grid 1 centre IRR equals model IRR</t>
  </si>
  <si>
    <t>Grid 2 centre MOIC equals model MOIC</t>
  </si>
  <si>
    <t>Grid 2 centre IRR equals model IRR</t>
  </si>
  <si>
    <t>Exit year is an integer between 3 and 7</t>
  </si>
  <si>
    <t>Revolver drawn at close within commitment</t>
  </si>
  <si>
    <t>Cash taxes never negative</t>
  </si>
  <si>
    <t>Overall model status</t>
  </si>
  <si>
    <t>errors</t>
  </si>
  <si>
    <t>USD millions. Fictional company, illustrative only. All figures link to the model sheets.</t>
  </si>
  <si>
    <t>Total debt / LTM EBITDA at close</t>
  </si>
  <si>
    <t>Sponsor equity</t>
  </si>
  <si>
    <t>Total equity % of capitalization</t>
  </si>
  <si>
    <t>Fees (transaction + financing)</t>
  </si>
  <si>
    <t>Model checks</t>
  </si>
  <si>
    <t>Returns</t>
  </si>
  <si>
    <t>Sponsor proceeds</t>
  </si>
  <si>
    <t>Sources and uses</t>
  </si>
  <si>
    <t>Value creation bridge (100% of equity)</t>
  </si>
  <si>
    <t>Fees and expenses</t>
  </si>
  <si>
    <t>Less: option pool</t>
  </si>
  <si>
    <t>Sponsor MOIC / IRR</t>
  </si>
  <si>
    <t>Projections and credit statistics</t>
  </si>
  <si>
    <t>FCF before debt service</t>
  </si>
  <si>
    <t>FCF after debt service</t>
  </si>
  <si>
    <t>Interest coverage (EBITDA / cash interest)</t>
  </si>
  <si>
    <t>Fixed charge coverage</t>
  </si>
  <si>
    <t>Financing summary</t>
  </si>
  <si>
    <t>x EBITDA</t>
  </si>
  <si>
    <t>Amort.</t>
  </si>
  <si>
    <t>Revolver (commitment)</t>
  </si>
  <si>
    <t>Sub notes pay in kind (1 = yes)</t>
  </si>
  <si>
    <t>Interest is charged on opening balances; no circular references.</t>
  </si>
  <si>
    <t>Leveraged buyout model</t>
  </si>
  <si>
    <t>Fictional company. Illustrative figures only; not investment advice.</t>
  </si>
  <si>
    <t>Built by Adham Karim (github.com/adhamkarim4815/lbo-lab)</t>
  </si>
  <si>
    <t>Active case</t>
  </si>
  <si>
    <t>Model status</t>
  </si>
  <si>
    <t>Sponsor IRR / MOIC</t>
  </si>
  <si>
    <t>Sheet</t>
  </si>
  <si>
    <t>Purpose</t>
  </si>
  <si>
    <t>Summary</t>
  </si>
  <si>
    <t>One-page returns summary: S&amp;U, bridge, credit statistics and charts.</t>
  </si>
  <si>
    <t>Inputs</t>
  </si>
  <si>
    <t>Every hard-coded assumption, the scenario dropdown (cell D5) and the three operating cases.</t>
  </si>
  <si>
    <t>Purchase price, fees, sources and uses, capitalization and ownership.</t>
  </si>
  <si>
    <t>Operating</t>
  </si>
  <si>
    <t>Revenue to EBITDA, taxes, free cash flow before and after debt service.</t>
  </si>
  <si>
    <t>Debt</t>
  </si>
  <si>
    <t>Cash waterfall, revolver, term loan (amortization + sweep), PIK-able notes, credit statistics.</t>
  </si>
  <si>
    <t>Exit valuation, sponsor IRR and MOIC, option pool, value creation bridge.</t>
  </si>
  <si>
    <t>Sensitivity</t>
  </si>
  <si>
    <t>Live-formula IRR and MOIC grids: entry vs exit multiple, exit multiple vs exit year.</t>
  </si>
  <si>
    <t>Checks</t>
  </si>
  <si>
    <t>Integrity checks: sources = uses, balances, roll-forwards, bridge, grid reconciliation.</t>
  </si>
  <si>
    <t>Colour code</t>
  </si>
  <si>
    <t>1,234.5</t>
  </si>
  <si>
    <t>Blue on cream: hard-coded input. Change these (Inputs sheet only).</t>
  </si>
  <si>
    <t>Black: formula or calculation on the same sheet.</t>
  </si>
  <si>
    <t>Green: direct link to another sheet.</t>
  </si>
  <si>
    <t>Conventions</t>
  </si>
  <si>
    <t>1.</t>
  </si>
  <si>
    <t>USD millions unless stated. Year 0 is the closing balance sheet (LTM period); years 1 to 7 are projections.</t>
  </si>
  <si>
    <t>2.</t>
  </si>
  <si>
    <t>Interest accrues on opening balances, so there are no circular references and no iterative calculation.</t>
  </si>
  <si>
    <t>3.</t>
  </si>
  <si>
    <t>Cash waterfall: free cash flow after mandatory amortization, then revolver draw or repayment, then the cash sweep.</t>
  </si>
  <si>
    <t>4.</t>
  </si>
  <si>
    <t>Sweep = sweep % x excess cash flow (period cash flow after mandatory amortization and revolver repayment).</t>
  </si>
  <si>
    <t>5.</t>
  </si>
  <si>
    <t>Bridge: EBITDA growth at the entry multiple; multiple expansion on exit EBITDA; net debt paydown; fees. Parts sum exactly.</t>
  </si>
  <si>
    <t>6.</t>
  </si>
  <si>
    <t>Switch case with the dropdown in Inputs!D5. The Python engine (lbo run) reproduces every number here.</t>
  </si>
  <si>
    <t>7.</t>
  </si>
  <si>
    <t>Halcyon Packaging Co. is fictional. Fees and taxes are simplified; see the repository README for limitations.</t>
  </si>
</sst>
</file>

<file path=xl/styles.xml><?xml version="1.0" encoding="utf-8"?>
<styleSheet xmlns="http://schemas.openxmlformats.org/spreadsheetml/2006/main">
  <numFmts count="10">
    <numFmt numFmtId="164" formatCode="#,##0.0_);(#,##0.0);&quot;-&quot;_)"/>
    <numFmt numFmtId="165" formatCode="0_)"/>
    <numFmt numFmtId="166" formatCode="0.0&quot;x&quot;_)"/>
    <numFmt numFmtId="167" formatCode="0.00&quot;x&quot;_)"/>
    <numFmt numFmtId="168" formatCode="0.0%_);(0.0%);&quot;-&quot;_)"/>
    <numFmt numFmtId="169" formatCode="0.00%_);(0.00%);&quot;-&quot;_)"/>
    <numFmt numFmtId="170" formatCode="&quot;Year &quot;0"/>
    <numFmt numFmtId="171" formatCode="&quot;LTM FY&quot;0"/>
    <numFmt numFmtId="172" formatCode="&quot;FY&quot;0&quot;E&quot;"/>
    <numFmt numFmtId="173" formatCode="0.0E+00"/>
  </numFmts>
  <fonts count="18">
    <font>
      <sz val="11"/>
      <color theme="1"/>
      <name val="Calibri"/>
      <family val="2"/>
      <scheme val="minor"/>
    </font>
    <font>
      <b/>
      <sz val="22"/>
      <color rgb="FF1F3864"/>
      <name val="Calibri"/>
      <family val="2"/>
      <scheme val="minor"/>
    </font>
    <font>
      <sz val="14"/>
      <color rgb="FF2E75B6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color rgb="FF7F7F7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E75B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5"/>
      <color rgb="FF1F3864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rgb="FFFFFF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EF2F8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0" fillId="3" borderId="1" xfId="0" applyFont="1" applyFill="1" applyBorder="1"/>
    <xf numFmtId="0" fontId="11" fillId="0" borderId="0" xfId="0" applyFont="1"/>
    <xf numFmtId="0" fontId="4" fillId="0" borderId="0" xfId="0" applyFont="1" applyAlignment="1">
      <alignment horizontal="right"/>
    </xf>
    <xf numFmtId="0" fontId="12" fillId="0" borderId="0" xfId="0" applyFont="1"/>
    <xf numFmtId="164" fontId="1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right"/>
    </xf>
    <xf numFmtId="164" fontId="11" fillId="0" borderId="0" xfId="0" applyNumberFormat="1" applyFont="1"/>
    <xf numFmtId="168" fontId="9" fillId="0" borderId="0" xfId="0" applyNumberFormat="1" applyFont="1"/>
    <xf numFmtId="168" fontId="11" fillId="0" borderId="0" xfId="0" applyNumberFormat="1" applyFont="1"/>
    <xf numFmtId="0" fontId="5" fillId="0" borderId="2" xfId="0" applyFont="1" applyBorder="1"/>
    <xf numFmtId="0" fontId="9" fillId="0" borderId="2" xfId="0" applyFont="1" applyBorder="1"/>
    <xf numFmtId="164" fontId="6" fillId="0" borderId="2" xfId="0" applyNumberFormat="1" applyFont="1" applyBorder="1"/>
    <xf numFmtId="168" fontId="5" fillId="0" borderId="2" xfId="0" applyNumberFormat="1" applyFont="1" applyBorder="1"/>
    <xf numFmtId="164" fontId="9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0" fontId="7" fillId="2" borderId="0" xfId="0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169" fontId="11" fillId="0" borderId="0" xfId="0" applyNumberFormat="1" applyFont="1"/>
    <xf numFmtId="167" fontId="11" fillId="0" borderId="0" xfId="0" applyNumberFormat="1" applyFont="1"/>
    <xf numFmtId="165" fontId="11" fillId="0" borderId="0" xfId="0" applyNumberFormat="1" applyFont="1"/>
    <xf numFmtId="0" fontId="13" fillId="3" borderId="1" xfId="0" applyFont="1" applyFill="1" applyBorder="1" applyAlignment="1">
      <alignment horizontal="center"/>
    </xf>
    <xf numFmtId="165" fontId="9" fillId="0" borderId="0" xfId="0" applyNumberFormat="1" applyFont="1"/>
    <xf numFmtId="0" fontId="9" fillId="0" borderId="0" xfId="0" applyFont="1" applyAlignment="1">
      <alignment horizontal="left" inden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/>
    </xf>
    <xf numFmtId="165" fontId="10" fillId="3" borderId="1" xfId="0" applyNumberFormat="1" applyFont="1" applyFill="1" applyBorder="1"/>
    <xf numFmtId="164" fontId="10" fillId="3" borderId="1" xfId="0" applyNumberFormat="1" applyFont="1" applyFill="1" applyBorder="1"/>
    <xf numFmtId="166" fontId="10" fillId="3" borderId="1" xfId="0" applyNumberFormat="1" applyFont="1" applyFill="1" applyBorder="1"/>
    <xf numFmtId="169" fontId="10" fillId="3" borderId="1" xfId="0" applyNumberFormat="1" applyFont="1" applyFill="1" applyBorder="1"/>
    <xf numFmtId="168" fontId="10" fillId="3" borderId="1" xfId="0" applyNumberFormat="1" applyFont="1" applyFill="1" applyBorder="1"/>
    <xf numFmtId="0" fontId="9" fillId="2" borderId="0" xfId="0" applyFont="1" applyFill="1"/>
    <xf numFmtId="170" fontId="7" fillId="2" borderId="0" xfId="0" applyNumberFormat="1" applyFont="1" applyFill="1" applyAlignment="1">
      <alignment horizontal="right"/>
    </xf>
    <xf numFmtId="166" fontId="9" fillId="0" borderId="0" xfId="0" applyNumberFormat="1" applyFont="1"/>
    <xf numFmtId="0" fontId="14" fillId="0" borderId="0" xfId="0" applyFont="1"/>
    <xf numFmtId="166" fontId="11" fillId="0" borderId="0" xfId="0" applyNumberFormat="1" applyFont="1"/>
    <xf numFmtId="0" fontId="5" fillId="0" borderId="3" xfId="0" applyFont="1" applyBorder="1"/>
    <xf numFmtId="0" fontId="9" fillId="0" borderId="3" xfId="0" applyFont="1" applyBorder="1"/>
    <xf numFmtId="0" fontId="5" fillId="0" borderId="3" xfId="0" applyFont="1" applyBorder="1" applyAlignment="1">
      <alignment horizontal="right"/>
    </xf>
    <xf numFmtId="167" fontId="9" fillId="0" borderId="0" xfId="0" applyNumberFormat="1" applyFont="1"/>
    <xf numFmtId="0" fontId="3" fillId="0" borderId="2" xfId="0" applyFont="1" applyBorder="1"/>
    <xf numFmtId="164" fontId="5" fillId="0" borderId="2" xfId="0" applyNumberFormat="1" applyFont="1" applyBorder="1"/>
    <xf numFmtId="167" fontId="5" fillId="0" borderId="2" xfId="0" applyNumberFormat="1" applyFont="1" applyBorder="1"/>
    <xf numFmtId="164" fontId="5" fillId="0" borderId="0" xfId="0" applyNumberFormat="1" applyFont="1"/>
    <xf numFmtId="0" fontId="15" fillId="2" borderId="0" xfId="0" applyFont="1" applyFill="1"/>
    <xf numFmtId="171" fontId="7" fillId="2" borderId="0" xfId="0" applyNumberFormat="1" applyFont="1" applyFill="1" applyAlignment="1">
      <alignment horizontal="right"/>
    </xf>
    <xf numFmtId="172" fontId="7" fillId="2" borderId="0" xfId="0" applyNumberFormat="1" applyFont="1" applyFill="1" applyAlignment="1">
      <alignment horizontal="right"/>
    </xf>
    <xf numFmtId="168" fontId="16" fillId="0" borderId="0" xfId="0" applyNumberFormat="1" applyFont="1"/>
    <xf numFmtId="164" fontId="6" fillId="0" borderId="0" xfId="0" applyNumberFormat="1" applyFont="1"/>
    <xf numFmtId="168" fontId="17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9" fontId="9" fillId="0" borderId="0" xfId="0" applyNumberFormat="1" applyFont="1"/>
    <xf numFmtId="164" fontId="9" fillId="0" borderId="2" xfId="0" applyNumberFormat="1" applyFont="1" applyBorder="1"/>
    <xf numFmtId="167" fontId="5" fillId="0" borderId="0" xfId="0" applyNumberFormat="1" applyFont="1"/>
    <xf numFmtId="167" fontId="5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4" fontId="5" fillId="4" borderId="0" xfId="0" applyNumberFormat="1" applyFont="1" applyFill="1"/>
    <xf numFmtId="167" fontId="5" fillId="4" borderId="0" xfId="0" applyNumberFormat="1" applyFont="1" applyFill="1"/>
    <xf numFmtId="168" fontId="5" fillId="4" borderId="0" xfId="0" applyNumberFormat="1" applyFont="1" applyFill="1"/>
    <xf numFmtId="0" fontId="3" fillId="0" borderId="3" xfId="0" applyFont="1" applyBorder="1"/>
    <xf numFmtId="0" fontId="5" fillId="0" borderId="0" xfId="0" applyFont="1" applyAlignment="1">
      <alignment horizontal="left" indent="1"/>
    </xf>
    <xf numFmtId="168" fontId="5" fillId="0" borderId="0" xfId="0" applyNumberFormat="1" applyFont="1"/>
    <xf numFmtId="166" fontId="5" fillId="0" borderId="3" xfId="0" applyNumberFormat="1" applyFont="1" applyBorder="1"/>
    <xf numFmtId="164" fontId="17" fillId="0" borderId="0" xfId="0" applyNumberFormat="1" applyFont="1"/>
    <xf numFmtId="166" fontId="5" fillId="0" borderId="0" xfId="0" applyNumberFormat="1" applyFont="1"/>
    <xf numFmtId="165" fontId="13" fillId="3" borderId="1" xfId="0" applyNumberFormat="1" applyFont="1" applyFill="1" applyBorder="1"/>
    <xf numFmtId="165" fontId="5" fillId="0" borderId="3" xfId="0" applyNumberFormat="1" applyFont="1" applyBorder="1"/>
    <xf numFmtId="173" fontId="9" fillId="0" borderId="0" xfId="0" applyNumberFormat="1" applyFont="1"/>
    <xf numFmtId="173" fontId="10" fillId="3" borderId="1" xfId="0" applyNumberFormat="1" applyFont="1" applyFill="1" applyBorder="1"/>
    <xf numFmtId="0" fontId="5" fillId="0" borderId="0" xfId="0" applyFont="1" applyAlignment="1">
      <alignment horizontal="right"/>
    </xf>
    <xf numFmtId="165" fontId="5" fillId="0" borderId="2" xfId="0" applyNumberFormat="1" applyFont="1" applyBorder="1"/>
    <xf numFmtId="0" fontId="5" fillId="0" borderId="2" xfId="0" applyFont="1" applyBorder="1" applyAlignment="1">
      <alignment horizontal="right"/>
    </xf>
  </cellXfs>
  <cellStyles count="1">
    <cellStyle name="Normal" xfId="0" builtinId="0"/>
  </cellStyles>
  <dxfs count="3">
    <dxf>
      <font>
        <b/>
      </font>
      <border>
        <left style="medium">
          <color rgb="FF1F3864"/>
        </left>
        <right style="medium">
          <color rgb="FF1F3864"/>
        </right>
        <top style="medium">
          <color rgb="FF1F3864"/>
        </top>
        <bottom style="medium">
          <color rgb="FF1F3864"/>
        </bottom>
        <vertical/>
        <horizontal/>
      </border>
    </dxf>
    <dxf>
      <fill>
        <patternFill>
          <bgColor rgb="FFC6E0B4"/>
        </patternFill>
      </fill>
    </dxf>
    <dxf>
      <fill>
        <patternFill>
          <bgColor rgb="FFF4B6B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Calibri"/>
              </a:defRPr>
            </a:pPr>
            <a:r>
              <a:rPr lang="en-US" sz="1100" b="1" baseline="0">
                <a:solidFill>
                  <a:srgbClr val="1F3864"/>
                </a:solidFill>
                <a:latin typeface="Calibri"/>
              </a:rPr>
              <a:t>Value creation bridge ($mm, 100% of equity)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Returns!$B$58:$B$63</c:f>
              <c:strCache>
                <c:ptCount val="6"/>
                <c:pt idx="0">
                  <c:v>Entry equity</c:v>
                </c:pt>
                <c:pt idx="1">
                  <c:v>EBITDA growth</c:v>
                </c:pt>
                <c:pt idx="2">
                  <c:v>Multiple expansion</c:v>
                </c:pt>
                <c:pt idx="3">
                  <c:v>Net debt paydown</c:v>
                </c:pt>
                <c:pt idx="4">
                  <c:v>Transaction costs</c:v>
                </c:pt>
                <c:pt idx="5">
                  <c:v>Exit equity</c:v>
                </c:pt>
              </c:strCache>
            </c:strRef>
          </c:cat>
          <c:val>
            <c:numRef>
              <c:f>Returns!$D$58:$D$63</c:f>
              <c:numCache>
                <c:formatCode>General</c:formatCode>
                <c:ptCount val="6"/>
                <c:pt idx="1">
                  <c:v>403.25</c:v>
                </c:pt>
                <c:pt idx="2">
                  <c:v>759.44722353125</c:v>
                </c:pt>
                <c:pt idx="3">
                  <c:v>759.44722353125</c:v>
                </c:pt>
                <c:pt idx="4">
                  <c:v>891.261813634601</c:v>
                </c:pt>
              </c:numCache>
            </c:numRef>
          </c:val>
        </c:ser>
        <c:ser>
          <c:idx val="1"/>
          <c:order val="1"/>
          <c:tx>
            <c:v>Equity</c:v>
          </c:tx>
          <c:spPr>
            <a:solidFill>
              <a:srgbClr val="1F3864"/>
            </a:solidFill>
          </c:spPr>
          <c:dLbls>
            <c:numFmt formatCode="#,##0;(#,##0);;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Returns!$B$58:$B$63</c:f>
              <c:strCache>
                <c:ptCount val="6"/>
                <c:pt idx="0">
                  <c:v>Entry equity</c:v>
                </c:pt>
                <c:pt idx="1">
                  <c:v>EBITDA growth</c:v>
                </c:pt>
                <c:pt idx="2">
                  <c:v>Multiple expansion</c:v>
                </c:pt>
                <c:pt idx="3">
                  <c:v>Net debt paydown</c:v>
                </c:pt>
                <c:pt idx="4">
                  <c:v>Transaction costs</c:v>
                </c:pt>
                <c:pt idx="5">
                  <c:v>Exit equity</c:v>
                </c:pt>
              </c:strCache>
            </c:strRef>
          </c:cat>
          <c:val>
            <c:numRef>
              <c:f>Returns!$E$58:$E$63</c:f>
              <c:numCache>
                <c:formatCode>General</c:formatCode>
                <c:ptCount val="6"/>
                <c:pt idx="0">
                  <c:v>403.25</c:v>
                </c:pt>
                <c:pt idx="5">
                  <c:v>891.261813634601</c:v>
                </c:pt>
              </c:numCache>
            </c:numRef>
          </c:val>
        </c:ser>
        <c:ser>
          <c:idx val="2"/>
          <c:order val="2"/>
          <c:tx>
            <c:v>Increase</c:v>
          </c:tx>
          <c:spPr>
            <a:solidFill>
              <a:srgbClr val="3C8D5A"/>
            </a:solidFill>
          </c:spPr>
          <c:dLbls>
            <c:numFmt formatCode="#,##0;(#,##0);;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Returns!$B$58:$B$63</c:f>
              <c:strCache>
                <c:ptCount val="6"/>
                <c:pt idx="0">
                  <c:v>Entry equity</c:v>
                </c:pt>
                <c:pt idx="1">
                  <c:v>EBITDA growth</c:v>
                </c:pt>
                <c:pt idx="2">
                  <c:v>Multiple expansion</c:v>
                </c:pt>
                <c:pt idx="3">
                  <c:v>Net debt paydown</c:v>
                </c:pt>
                <c:pt idx="4">
                  <c:v>Transaction costs</c:v>
                </c:pt>
                <c:pt idx="5">
                  <c:v>Exit equity</c:v>
                </c:pt>
              </c:strCache>
            </c:strRef>
          </c:cat>
          <c:val>
            <c:numRef>
              <c:f>Returns!$F$58:$F$63</c:f>
              <c:numCache>
                <c:formatCode>General</c:formatCode>
                <c:ptCount val="6"/>
                <c:pt idx="1">
                  <c:v>356.19722353125</c:v>
                </c:pt>
                <c:pt idx="2">
                  <c:v>0</c:v>
                </c:pt>
                <c:pt idx="3">
                  <c:v>165.064590103351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v>Decrease</c:v>
          </c:tx>
          <c:spPr>
            <a:solidFill>
              <a:srgbClr val="C0392B"/>
            </a:solidFill>
          </c:spPr>
          <c:dLbls>
            <c:numFmt formatCode="(#,##0);(#,##0);;" sourceLinked="0"/>
            <c:txPr>
              <a:bodyPr/>
              <a:lstStyle/>
              <a:p>
                <a:pPr>
                  <a:defRPr sz="900" b="1" baseline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Returns!$B$58:$B$63</c:f>
              <c:strCache>
                <c:ptCount val="6"/>
                <c:pt idx="0">
                  <c:v>Entry equity</c:v>
                </c:pt>
                <c:pt idx="1">
                  <c:v>EBITDA growth</c:v>
                </c:pt>
                <c:pt idx="2">
                  <c:v>Multiple expansion</c:v>
                </c:pt>
                <c:pt idx="3">
                  <c:v>Net debt paydown</c:v>
                </c:pt>
                <c:pt idx="4">
                  <c:v>Transaction costs</c:v>
                </c:pt>
                <c:pt idx="5">
                  <c:v>Exit equity</c:v>
                </c:pt>
              </c:strCache>
            </c:strRef>
          </c:cat>
          <c:val>
            <c:numRef>
              <c:f>Returns!$G$58:$G$63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33.25</c:v>
                </c:pt>
              </c:numCache>
            </c:numRef>
          </c:val>
        </c:ser>
        <c:gapWidth val="4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Calibri"/>
              </a:defRPr>
            </a:pPr>
            <a:r>
              <a:rPr lang="en-US" sz="1100" b="1" baseline="0">
                <a:solidFill>
                  <a:srgbClr val="1F3864"/>
                </a:solidFill>
                <a:latin typeface="Calibri"/>
              </a:rPr>
              <a:t>Leverage and coverage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debt / EBITDA</c:v>
          </c:tx>
          <c:spPr>
            <a:solidFill>
              <a:srgbClr val="1F3864"/>
            </a:solidFill>
          </c:spP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Debt!$D$70:$K$70</c:f>
              <c:numCache>
                <c:formatCode>General</c:formatCode>
                <c:ptCount val="8"/>
                <c:pt idx="0">
                  <c:v>5.5</c:v>
                </c:pt>
                <c:pt idx="1">
                  <c:v>5.03224604110512</c:v>
                </c:pt>
                <c:pt idx="2">
                  <c:v>4.46495880045019</c:v>
                </c:pt>
                <c:pt idx="3">
                  <c:v>3.93198320103881</c:v>
                </c:pt>
                <c:pt idx="4">
                  <c:v>3.42690690772764</c:v>
                </c:pt>
                <c:pt idx="5">
                  <c:v>2.96395657230949</c:v>
                </c:pt>
                <c:pt idx="6">
                  <c:v>2.50323649532635</c:v>
                </c:pt>
                <c:pt idx="7">
                  <c:v>2.06859971459942</c:v>
                </c:pt>
              </c:numCache>
            </c:numRef>
          </c:val>
        </c:ser>
        <c:ser>
          <c:idx val="1"/>
          <c:order val="1"/>
          <c:tx>
            <c:v>Senior debt / EBITDA</c:v>
          </c:tx>
          <c:spPr>
            <a:solidFill>
              <a:srgbClr val="8FAADC"/>
            </a:solidFill>
          </c:spP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Debt!$D$71:$K$71</c:f>
              <c:numCache>
                <c:formatCode>General</c:formatCode>
                <c:ptCount val="8"/>
                <c:pt idx="0">
                  <c:v>4</c:v>
                </c:pt>
                <c:pt idx="1">
                  <c:v>3.61715170148248</c:v>
                </c:pt>
                <c:pt idx="2">
                  <c:v>3.15635231368783</c:v>
                </c:pt>
                <c:pt idx="3">
                  <c:v>2.71536492536406</c:v>
                </c:pt>
                <c:pt idx="4">
                  <c:v>2.28975396284415</c:v>
                </c:pt>
                <c:pt idx="5">
                  <c:v>1.88928455846356</c:v>
                </c:pt>
                <c:pt idx="6">
                  <c:v>1.48731383746638</c:v>
                </c:pt>
                <c:pt idx="7">
                  <c:v>1.09793823795382</c:v>
                </c:pt>
              </c:numCache>
            </c:numRef>
          </c:val>
        </c:ser>
        <c:gapWidth val="80"/>
        <c:axId val="50020001"/>
        <c:axId val="50020002"/>
      </c:barChart>
      <c:lineChart>
        <c:grouping val="standard"/>
        <c:ser>
          <c:idx val="2"/>
          <c:order val="2"/>
          <c:tx>
            <c:v>Interest coverage (right axis)</c:v>
          </c:tx>
          <c:spPr>
            <a:ln w="28575">
              <a:solidFill>
                <a:srgbClr val="E9A23B"/>
              </a:solidFill>
            </a:ln>
          </c:spPr>
          <c:marker>
            <c:symbol val="circle"/>
            <c:size val="5"/>
            <c:spPr>
              <a:solidFill>
                <a:srgbClr val="E9A23B"/>
              </a:solidFill>
              <a:ln>
                <a:solidFill>
                  <a:srgbClr val="E9A23B"/>
                </a:solidFill>
              </a:ln>
            </c:spPr>
          </c:marke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Debt!$D$73:$K$73</c:f>
              <c:numCache>
                <c:formatCode>General</c:formatCode>
                <c:ptCount val="8"/>
                <c:pt idx="1">
                  <c:v>2.04633204633205</c:v>
                </c:pt>
                <c:pt idx="2">
                  <c:v>2.2766204541496</c:v>
                </c:pt>
                <c:pt idx="3">
                  <c:v>2.54434796886075</c:v>
                </c:pt>
                <c:pt idx="4">
                  <c:v>2.86174857246579</c:v>
                </c:pt>
                <c:pt idx="5">
                  <c:v>3.22884464041475</c:v>
                </c:pt>
                <c:pt idx="6">
                  <c:v>3.70290053788772</c:v>
                </c:pt>
                <c:pt idx="7">
                  <c:v>4.29081280917771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0.0&quot;x&quot;" sourceLinked="0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0.0&quot;x&quot;" sourceLinked="0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Calibri"/>
              </a:defRPr>
            </a:pPr>
            <a:r>
              <a:rPr lang="en-US" sz="1100" b="1" baseline="0">
                <a:solidFill>
                  <a:srgbClr val="1F3864"/>
                </a:solidFill>
                <a:latin typeface="Calibri"/>
              </a:rPr>
              <a:t>Debt paydown by tranche ($mm)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Senior term loan</c:v>
          </c:tx>
          <c:spPr>
            <a:solidFill>
              <a:srgbClr val="1F3864"/>
            </a:solidFill>
          </c:spP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Debt!$D$41:$K$41</c:f>
              <c:numCache>
                <c:formatCode>General</c:formatCode>
                <c:ptCount val="8"/>
                <c:pt idx="0">
                  <c:v>400</c:v>
                </c:pt>
                <c:pt idx="1">
                  <c:v>383.418080357143</c:v>
                </c:pt>
                <c:pt idx="2">
                  <c:v>361.799251220703</c:v>
                </c:pt>
                <c:pt idx="3">
                  <c:v>334.784333712818</c:v>
                </c:pt>
                <c:pt idx="4">
                  <c:v>302.037730256077</c:v>
                </c:pt>
                <c:pt idx="5">
                  <c:v>263.701557422487</c:v>
                </c:pt>
                <c:pt idx="6">
                  <c:v>219.600452745002</c:v>
                </c:pt>
                <c:pt idx="7">
                  <c:v>169.668560724393</c:v>
                </c:pt>
              </c:numCache>
            </c:numRef>
          </c:val>
        </c:ser>
        <c:ser>
          <c:idx val="1"/>
          <c:order val="1"/>
          <c:tx>
            <c:v>Subordinated notes</c:v>
          </c:tx>
          <c:spPr>
            <a:solidFill>
              <a:srgbClr val="8FAADC"/>
            </a:solidFill>
          </c:spP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Debt!$D$46:$K$46</c:f>
              <c:numCache>
                <c:formatCode>General</c:formatCode>
                <c:ptCount val="8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</c:numCache>
            </c:numRef>
          </c:val>
        </c:ser>
        <c:ser>
          <c:idx val="2"/>
          <c:order val="2"/>
          <c:tx>
            <c:v>Revolver</c:v>
          </c:tx>
          <c:spPr>
            <a:solidFill>
              <a:srgbClr val="E9A23B"/>
            </a:solidFill>
          </c:spPr>
          <c:cat>
            <c:strRef>
              <c:f>Debt!$D$6:$K$6</c:f>
              <c:strCache>
                <c:ptCount val="8"/>
                <c:pt idx="0">
                  <c:v>Close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  <c:pt idx="6">
                  <c:v>FY2032E</c:v>
                </c:pt>
                <c:pt idx="7">
                  <c:v>FY2033E</c:v>
                </c:pt>
              </c:strCache>
            </c:strRef>
          </c:cat>
          <c:val>
            <c:numRef>
              <c:f>Debt!$D$34:$K$34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37</xdr:row>
      <xdr:rowOff>38100</xdr:rowOff>
    </xdr:from>
    <xdr:to>
      <xdr:col>4</xdr:col>
      <xdr:colOff>762000</xdr:colOff>
      <xdr:row>51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37</xdr:row>
      <xdr:rowOff>38100</xdr:rowOff>
    </xdr:from>
    <xdr:to>
      <xdr:col>10</xdr:col>
      <xdr:colOff>657225</xdr:colOff>
      <xdr:row>51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53</xdr:row>
      <xdr:rowOff>38100</xdr:rowOff>
    </xdr:from>
    <xdr:to>
      <xdr:col>4</xdr:col>
      <xdr:colOff>762000</xdr:colOff>
      <xdr:row>67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C33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90.7109375" customWidth="1"/>
    <col min="4" max="11" width="13.28515625" customWidth="1"/>
  </cols>
  <sheetData>
    <row r="2" spans="2:3">
      <c r="B2" s="1" t="s">
        <v>13</v>
      </c>
    </row>
    <row r="3" spans="2:3">
      <c r="B3" s="2" t="s">
        <v>314</v>
      </c>
    </row>
    <row r="4" spans="2:3">
      <c r="B4" s="3" t="s">
        <v>315</v>
      </c>
    </row>
    <row r="5" spans="2:3">
      <c r="B5" s="4" t="s">
        <v>316</v>
      </c>
    </row>
    <row r="7" spans="2:3">
      <c r="B7" s="5" t="s">
        <v>317</v>
      </c>
      <c r="C7" s="6" t="str">
        <f>Inputs!$D$5</f>
        <v>Base</v>
      </c>
    </row>
    <row r="8" spans="2:3">
      <c r="B8" s="5" t="s">
        <v>318</v>
      </c>
      <c r="C8" s="6" t="str">
        <f>Checks!$F$26</f>
        <v>ALL CHECKS PASS</v>
      </c>
    </row>
    <row r="9" spans="2:3">
      <c r="B9" s="5" t="s">
        <v>319</v>
      </c>
      <c r="C9" s="7" t="str">
        <f>TEXT(Returns!$D$33,"0.0%")&amp;"  /  "&amp;TEXT(Returns!$D$32,"0.00")&amp;"x"</f>
        <v>16.5%  /  2.15x</v>
      </c>
    </row>
    <row r="11" spans="2:3">
      <c r="B11" s="8" t="s">
        <v>320</v>
      </c>
      <c r="C11" s="8" t="s">
        <v>321</v>
      </c>
    </row>
    <row r="12" spans="2:3">
      <c r="B12" s="9" t="s">
        <v>322</v>
      </c>
      <c r="C12" s="10" t="s">
        <v>323</v>
      </c>
    </row>
    <row r="13" spans="2:3">
      <c r="B13" s="9" t="s">
        <v>324</v>
      </c>
      <c r="C13" s="10" t="s">
        <v>325</v>
      </c>
    </row>
    <row r="14" spans="2:3">
      <c r="B14" s="9" t="s">
        <v>11</v>
      </c>
      <c r="C14" s="10" t="s">
        <v>326</v>
      </c>
    </row>
    <row r="15" spans="2:3">
      <c r="B15" s="9" t="s">
        <v>327</v>
      </c>
      <c r="C15" s="10" t="s">
        <v>328</v>
      </c>
    </row>
    <row r="16" spans="2:3">
      <c r="B16" s="9" t="s">
        <v>329</v>
      </c>
      <c r="C16" s="10" t="s">
        <v>330</v>
      </c>
    </row>
    <row r="17" spans="2:3">
      <c r="B17" s="9" t="s">
        <v>296</v>
      </c>
      <c r="C17" s="10" t="s">
        <v>331</v>
      </c>
    </row>
    <row r="18" spans="2:3">
      <c r="B18" s="9" t="s">
        <v>332</v>
      </c>
      <c r="C18" s="10" t="s">
        <v>333</v>
      </c>
    </row>
    <row r="19" spans="2:3">
      <c r="B19" s="9" t="s">
        <v>334</v>
      </c>
      <c r="C19" s="10" t="s">
        <v>335</v>
      </c>
    </row>
    <row r="21" spans="2:3">
      <c r="B21" s="8" t="s">
        <v>336</v>
      </c>
      <c r="C21" s="8"/>
    </row>
    <row r="22" spans="2:3">
      <c r="B22" s="11" t="s">
        <v>337</v>
      </c>
      <c r="C22" s="10" t="s">
        <v>338</v>
      </c>
    </row>
    <row r="23" spans="2:3">
      <c r="B23" s="10" t="s">
        <v>337</v>
      </c>
      <c r="C23" s="10" t="s">
        <v>339</v>
      </c>
    </row>
    <row r="24" spans="2:3">
      <c r="B24" s="12" t="s">
        <v>337</v>
      </c>
      <c r="C24" s="10" t="s">
        <v>340</v>
      </c>
    </row>
    <row r="26" spans="2:3">
      <c r="B26" s="8" t="s">
        <v>341</v>
      </c>
      <c r="C26" s="8"/>
    </row>
    <row r="27" spans="2:3">
      <c r="B27" s="13" t="s">
        <v>342</v>
      </c>
      <c r="C27" s="10" t="s">
        <v>343</v>
      </c>
    </row>
    <row r="28" spans="2:3">
      <c r="B28" s="13" t="s">
        <v>344</v>
      </c>
      <c r="C28" s="10" t="s">
        <v>345</v>
      </c>
    </row>
    <row r="29" spans="2:3">
      <c r="B29" s="13" t="s">
        <v>346</v>
      </c>
      <c r="C29" s="10" t="s">
        <v>347</v>
      </c>
    </row>
    <row r="30" spans="2:3">
      <c r="B30" s="13" t="s">
        <v>348</v>
      </c>
      <c r="C30" s="10" t="s">
        <v>349</v>
      </c>
    </row>
    <row r="31" spans="2:3">
      <c r="B31" s="13" t="s">
        <v>350</v>
      </c>
      <c r="C31" s="10" t="s">
        <v>351</v>
      </c>
    </row>
    <row r="32" spans="2:3">
      <c r="B32" s="13" t="s">
        <v>352</v>
      </c>
      <c r="C32" s="10" t="s">
        <v>353</v>
      </c>
    </row>
    <row r="33" spans="2:3">
      <c r="B33" s="13" t="s">
        <v>354</v>
      </c>
      <c r="C33" s="10" t="s">
        <v>355</v>
      </c>
    </row>
  </sheetData>
  <hyperlinks>
    <hyperlink ref="B12" location="'Summary'!A1" display="Summary"/>
    <hyperlink ref="B13" location="'Inputs'!A1" display="Inputs"/>
    <hyperlink ref="B14" location="'Transaction'!A1" display="Transaction"/>
    <hyperlink ref="B15" location="'Operating'!A1" display="Operating"/>
    <hyperlink ref="B16" location="'Debt'!A1" display="Debt"/>
    <hyperlink ref="B17" location="'Returns'!A1" display="Returns"/>
    <hyperlink ref="B18" location="'Sensitivity'!A1" display="Sensitivity"/>
    <hyperlink ref="B19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6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.7109375" customWidth="1"/>
    <col min="2" max="2" width="34.7109375" customWidth="1"/>
    <col min="3" max="3" width="9.7109375" customWidth="1"/>
    <col min="4" max="11" width="13.28515625" customWidth="1"/>
  </cols>
  <sheetData>
    <row r="1" spans="2:11">
      <c r="B1" s="14" t="str">
        <f>Inputs!$D$12&amp;" | LBO returns summary | "&amp;Inputs!$D$5&amp;" case"</f>
        <v>Halcyon Packaging Co. | LBO returns summary | Base case</v>
      </c>
    </row>
    <row r="2" spans="2:11">
      <c r="B2" s="3" t="s">
        <v>290</v>
      </c>
    </row>
    <row r="4" spans="2:11">
      <c r="B4" s="8" t="s">
        <v>11</v>
      </c>
      <c r="C4" s="8"/>
      <c r="D4" s="8"/>
      <c r="E4" s="8"/>
      <c r="F4" s="8" t="s">
        <v>296</v>
      </c>
      <c r="G4" s="8"/>
      <c r="H4" s="8"/>
      <c r="I4" s="8"/>
      <c r="J4" s="8"/>
      <c r="K4" s="8"/>
    </row>
    <row r="5" spans="2:11">
      <c r="B5" s="10" t="s">
        <v>74</v>
      </c>
      <c r="D5" s="15">
        <f>Transaction!$D$7</f>
        <v>900</v>
      </c>
      <c r="F5" s="10" t="s">
        <v>187</v>
      </c>
      <c r="K5" s="16">
        <f>Returns!$D$5</f>
        <v>5</v>
      </c>
    </row>
    <row r="6" spans="2:11">
      <c r="B6" s="10" t="s">
        <v>19</v>
      </c>
      <c r="D6" s="17">
        <f>Transaction!$D$6</f>
        <v>9</v>
      </c>
      <c r="F6" s="10" t="s">
        <v>69</v>
      </c>
      <c r="K6" s="17">
        <f>Returns!$D$6</f>
        <v>9</v>
      </c>
    </row>
    <row r="7" spans="2:11">
      <c r="B7" s="10" t="s">
        <v>291</v>
      </c>
      <c r="D7" s="18">
        <f>Transaction!$F$41</f>
        <v>5.5</v>
      </c>
      <c r="F7" s="10" t="s">
        <v>197</v>
      </c>
      <c r="K7" s="15">
        <f>Returns!$D$17</f>
        <v>1256.19722353125</v>
      </c>
    </row>
    <row r="8" spans="2:11">
      <c r="B8" s="10" t="s">
        <v>292</v>
      </c>
      <c r="D8" s="15">
        <f>Transaction!$D$22</f>
        <v>378.25</v>
      </c>
      <c r="F8" s="10" t="s">
        <v>203</v>
      </c>
      <c r="K8" s="15">
        <f>Returns!$D$23</f>
        <v>891.261813634601</v>
      </c>
    </row>
    <row r="9" spans="2:11">
      <c r="B9" s="10" t="s">
        <v>293</v>
      </c>
      <c r="D9" s="19">
        <f>Transaction!$E$44</f>
        <v>0.423026488329399</v>
      </c>
      <c r="F9" s="10" t="s">
        <v>297</v>
      </c>
      <c r="K9" s="15">
        <f>Returns!$D$30</f>
        <v>813.11905166007</v>
      </c>
    </row>
    <row r="10" spans="2:11">
      <c r="B10" s="10" t="s">
        <v>294</v>
      </c>
      <c r="D10" s="20">
        <f>Transaction!$D$9+Transaction!$D$13</f>
        <v>33.25</v>
      </c>
      <c r="F10" s="5" t="s">
        <v>211</v>
      </c>
      <c r="K10" s="21">
        <f>Returns!$D$32</f>
        <v>2.14968685171202</v>
      </c>
    </row>
    <row r="11" spans="2:11">
      <c r="B11" s="5" t="s">
        <v>295</v>
      </c>
      <c r="D11" s="22" t="str">
        <f>Checks!$F$26</f>
        <v>ALL CHECKS PASS</v>
      </c>
      <c r="F11" s="5" t="s">
        <v>212</v>
      </c>
      <c r="K11" s="23">
        <f>Returns!$D$33</f>
        <v>0.16540007051389</v>
      </c>
    </row>
    <row r="13" spans="2:11">
      <c r="B13" s="8" t="s">
        <v>298</v>
      </c>
      <c r="C13" s="8"/>
      <c r="D13" s="8"/>
      <c r="E13" s="8"/>
      <c r="F13" s="8" t="s">
        <v>299</v>
      </c>
      <c r="G13" s="8"/>
      <c r="H13" s="8"/>
      <c r="I13" s="8"/>
      <c r="J13" s="8"/>
      <c r="K13" s="8"/>
    </row>
    <row r="14" spans="2:11">
      <c r="B14" s="10" t="s">
        <v>95</v>
      </c>
      <c r="C14" s="10" t="s">
        <v>50</v>
      </c>
      <c r="D14" s="24">
        <f>Transaction!$D$18</f>
        <v>0</v>
      </c>
      <c r="E14" s="25">
        <f>Transaction!$D$18/Transaction!$D$23</f>
        <v>0</v>
      </c>
      <c r="F14" s="10" t="s">
        <v>241</v>
      </c>
      <c r="G14" s="10" t="s">
        <v>50</v>
      </c>
      <c r="H14" s="10" t="s">
        <v>50</v>
      </c>
      <c r="I14" s="10" t="s">
        <v>50</v>
      </c>
      <c r="J14" s="24">
        <f>Returns!$D$37</f>
        <v>403.25</v>
      </c>
      <c r="K14" s="10" t="s">
        <v>50</v>
      </c>
    </row>
    <row r="15" spans="2:11">
      <c r="B15" s="10" t="s">
        <v>34</v>
      </c>
      <c r="C15" s="10" t="s">
        <v>50</v>
      </c>
      <c r="D15" s="24">
        <f>Transaction!$D$19</f>
        <v>400</v>
      </c>
      <c r="E15" s="25">
        <f>Transaction!$D$19/Transaction!$D$23</f>
        <v>0.4196170993968</v>
      </c>
      <c r="F15" s="10" t="s">
        <v>242</v>
      </c>
      <c r="G15" s="10" t="s">
        <v>50</v>
      </c>
      <c r="H15" s="10" t="s">
        <v>50</v>
      </c>
      <c r="I15" s="10" t="s">
        <v>50</v>
      </c>
      <c r="J15" s="24">
        <f>Returns!$D$38</f>
        <v>356.19722353125</v>
      </c>
      <c r="K15" s="26">
        <f>Returns!$E$38</f>
        <v>0.72989467381614</v>
      </c>
    </row>
    <row r="16" spans="2:11">
      <c r="B16" s="10" t="s">
        <v>36</v>
      </c>
      <c r="C16" s="10" t="s">
        <v>50</v>
      </c>
      <c r="D16" s="24">
        <f>Transaction!$D$20</f>
        <v>150</v>
      </c>
      <c r="E16" s="25">
        <f>Transaction!$D$20/Transaction!$D$23</f>
        <v>0.1573564122738</v>
      </c>
      <c r="F16" s="10" t="s">
        <v>243</v>
      </c>
      <c r="G16" s="10" t="s">
        <v>50</v>
      </c>
      <c r="H16" s="10" t="s">
        <v>50</v>
      </c>
      <c r="I16" s="10" t="s">
        <v>50</v>
      </c>
      <c r="J16" s="24">
        <f>Returns!$D$39</f>
        <v>0</v>
      </c>
      <c r="K16" s="26">
        <f>Returns!$E$39</f>
        <v>0</v>
      </c>
    </row>
    <row r="17" spans="2:11">
      <c r="B17" s="10" t="s">
        <v>104</v>
      </c>
      <c r="C17" s="10" t="s">
        <v>50</v>
      </c>
      <c r="D17" s="24">
        <f>Transaction!$D$21</f>
        <v>25</v>
      </c>
      <c r="E17" s="25">
        <f>Transaction!$D$21/Transaction!$D$23</f>
        <v>0.0262260687123</v>
      </c>
      <c r="F17" s="10" t="s">
        <v>244</v>
      </c>
      <c r="G17" s="10" t="s">
        <v>50</v>
      </c>
      <c r="H17" s="10" t="s">
        <v>50</v>
      </c>
      <c r="I17" s="10" t="s">
        <v>50</v>
      </c>
      <c r="J17" s="24">
        <f>Returns!$D$40</f>
        <v>165.064590103351</v>
      </c>
      <c r="K17" s="26">
        <f>Returns!$E$40</f>
        <v>0.338238922689161</v>
      </c>
    </row>
    <row r="18" spans="2:11">
      <c r="B18" s="10" t="s">
        <v>292</v>
      </c>
      <c r="C18" s="10" t="s">
        <v>50</v>
      </c>
      <c r="D18" s="24">
        <f>Transaction!$D$22</f>
        <v>378.25</v>
      </c>
      <c r="E18" s="25">
        <f>Transaction!$D$22/Transaction!$D$23</f>
        <v>0.396800419617099</v>
      </c>
      <c r="F18" s="10" t="s">
        <v>245</v>
      </c>
      <c r="G18" s="10" t="s">
        <v>50</v>
      </c>
      <c r="H18" s="10" t="s">
        <v>50</v>
      </c>
      <c r="I18" s="10" t="s">
        <v>50</v>
      </c>
      <c r="J18" s="24">
        <f>Returns!$D$41</f>
        <v>-33.25</v>
      </c>
      <c r="K18" s="26">
        <f>Returns!$E$41</f>
        <v>-0.0681335965053009</v>
      </c>
    </row>
    <row r="19" spans="2:11">
      <c r="B19" s="27" t="s">
        <v>89</v>
      </c>
      <c r="C19" s="28" t="s">
        <v>50</v>
      </c>
      <c r="D19" s="29">
        <f>Transaction!$D$23</f>
        <v>953.25</v>
      </c>
      <c r="E19" s="30">
        <f>Transaction!$D$23/Transaction!$D$23</f>
        <v>1</v>
      </c>
      <c r="F19" s="27" t="s">
        <v>223</v>
      </c>
      <c r="G19" s="28" t="s">
        <v>50</v>
      </c>
      <c r="H19" s="28" t="s">
        <v>50</v>
      </c>
      <c r="I19" s="28" t="s">
        <v>50</v>
      </c>
      <c r="J19" s="29">
        <f>Returns!$D$43</f>
        <v>891.261813634601</v>
      </c>
      <c r="K19" s="28" t="s">
        <v>50</v>
      </c>
    </row>
    <row r="20" spans="2:11">
      <c r="B20" s="10" t="s">
        <v>74</v>
      </c>
      <c r="C20" s="10" t="s">
        <v>50</v>
      </c>
      <c r="D20" s="24">
        <f>Transaction!$D$27</f>
        <v>900</v>
      </c>
      <c r="E20" s="25">
        <f>Transaction!$D$27/Transaction!$D$31</f>
        <v>0.944138473642801</v>
      </c>
      <c r="F20" s="10" t="s">
        <v>301</v>
      </c>
      <c r="G20" s="10" t="s">
        <v>50</v>
      </c>
      <c r="H20" s="10" t="s">
        <v>50</v>
      </c>
      <c r="I20" s="10" t="s">
        <v>50</v>
      </c>
      <c r="J20" s="24">
        <f>Returns!$D$45</f>
        <v>-24.40059068173</v>
      </c>
      <c r="K20" s="10" t="s">
        <v>50</v>
      </c>
    </row>
    <row r="21" spans="2:11">
      <c r="B21" s="10" t="s">
        <v>300</v>
      </c>
      <c r="C21" s="10" t="s">
        <v>50</v>
      </c>
      <c r="D21" s="31">
        <f>Transaction!$D$28+Transaction!$D$29</f>
        <v>33.25</v>
      </c>
      <c r="E21" s="25">
        <f>(Transaction!$D$28+Transaction!$D$29)/Transaction!$D$31</f>
        <v>0.034880671387359</v>
      </c>
      <c r="F21" s="27" t="s">
        <v>228</v>
      </c>
      <c r="G21" s="28" t="s">
        <v>50</v>
      </c>
      <c r="H21" s="28" t="s">
        <v>50</v>
      </c>
      <c r="I21" s="28" t="s">
        <v>50</v>
      </c>
      <c r="J21" s="29">
        <f>Returns!$D$48</f>
        <v>434.86905166007</v>
      </c>
      <c r="K21" s="28" t="s">
        <v>50</v>
      </c>
    </row>
    <row r="22" spans="2:11">
      <c r="B22" s="10" t="s">
        <v>148</v>
      </c>
      <c r="C22" s="10" t="s">
        <v>50</v>
      </c>
      <c r="D22" s="24">
        <f>Transaction!$D$30</f>
        <v>20</v>
      </c>
      <c r="E22" s="25">
        <f>Transaction!$D$30/Transaction!$D$31</f>
        <v>0.02098085496984</v>
      </c>
      <c r="F22" s="10" t="s">
        <v>302</v>
      </c>
      <c r="J22" s="32">
        <f>Returns!$D$32</f>
        <v>2.14968685171202</v>
      </c>
      <c r="K22" s="33">
        <f>Returns!$D$33</f>
        <v>0.16540007051389</v>
      </c>
    </row>
    <row r="23" spans="2:11">
      <c r="B23" s="27" t="s">
        <v>90</v>
      </c>
      <c r="C23" s="28" t="s">
        <v>50</v>
      </c>
      <c r="D23" s="29">
        <f>Transaction!$D$31</f>
        <v>953.25</v>
      </c>
      <c r="E23" s="30">
        <f>Transaction!$D$31/Transaction!$D$31</f>
        <v>1</v>
      </c>
    </row>
    <row r="25" spans="2:11">
      <c r="B25" s="8" t="s">
        <v>303</v>
      </c>
      <c r="C25" s="8"/>
      <c r="D25" s="34" t="str">
        <f>Debt!D6</f>
        <v>Close</v>
      </c>
      <c r="E25" s="34" t="str">
        <f>Debt!E6</f>
        <v>FY2027E</v>
      </c>
      <c r="F25" s="34" t="str">
        <f>Debt!F6</f>
        <v>FY2028E</v>
      </c>
      <c r="G25" s="34" t="str">
        <f>Debt!G6</f>
        <v>FY2029E</v>
      </c>
      <c r="H25" s="34" t="str">
        <f>Debt!H6</f>
        <v>FY2030E</v>
      </c>
      <c r="I25" s="34" t="str">
        <f>Debt!I6</f>
        <v>FY2031E</v>
      </c>
      <c r="J25" s="34" t="str">
        <f>Debt!J6</f>
        <v>FY2032E</v>
      </c>
      <c r="K25" s="34" t="str">
        <f>Debt!K6</f>
        <v>FY2033E</v>
      </c>
    </row>
    <row r="26" spans="2:11">
      <c r="B26" s="10" t="s">
        <v>116</v>
      </c>
      <c r="D26" s="15">
        <f>Operating!D18</f>
        <v>625</v>
      </c>
      <c r="E26" s="15">
        <f>Operating!E18</f>
        <v>662.5</v>
      </c>
      <c r="F26" s="15">
        <f>Operating!F18</f>
        <v>698.9375</v>
      </c>
      <c r="G26" s="15">
        <f>Operating!G18</f>
        <v>733.884375</v>
      </c>
      <c r="H26" s="15">
        <f>Operating!H18</f>
        <v>766.909171875</v>
      </c>
      <c r="I26" s="15">
        <f>Operating!I18</f>
        <v>797.58553875</v>
      </c>
      <c r="J26" s="15">
        <f>Operating!J18</f>
        <v>829.4889603</v>
      </c>
      <c r="K26" s="15">
        <f>Operating!K18</f>
        <v>858.5210739105</v>
      </c>
    </row>
    <row r="27" spans="2:11">
      <c r="B27" s="5" t="s">
        <v>117</v>
      </c>
      <c r="D27" s="35">
        <f>Operating!D20</f>
        <v>100</v>
      </c>
      <c r="E27" s="35">
        <f>Operating!E20</f>
        <v>106</v>
      </c>
      <c r="F27" s="35">
        <f>Operating!F20</f>
        <v>114.62575</v>
      </c>
      <c r="G27" s="35">
        <f>Operating!G20</f>
        <v>123.292575</v>
      </c>
      <c r="H27" s="35">
        <f>Operating!H20</f>
        <v>131.9083775625</v>
      </c>
      <c r="I27" s="35">
        <f>Operating!I20</f>
        <v>139.57746928125</v>
      </c>
      <c r="J27" s="35">
        <f>Operating!J20</f>
        <v>147.6490349334</v>
      </c>
      <c r="K27" s="35">
        <f>Operating!K20</f>
        <v>154.53379330389</v>
      </c>
    </row>
    <row r="28" spans="2:11">
      <c r="B28" s="10" t="s">
        <v>67</v>
      </c>
      <c r="D28" s="19">
        <f>Operating!D19</f>
        <v>0.16</v>
      </c>
      <c r="E28" s="19">
        <f>Operating!E19</f>
        <v>0.16</v>
      </c>
      <c r="F28" s="19">
        <f>Operating!F19</f>
        <v>0.164</v>
      </c>
      <c r="G28" s="19">
        <f>Operating!G19</f>
        <v>0.168</v>
      </c>
      <c r="H28" s="19">
        <f>Operating!H19</f>
        <v>0.172</v>
      </c>
      <c r="I28" s="19">
        <f>Operating!I19</f>
        <v>0.175</v>
      </c>
      <c r="J28" s="19">
        <f>Operating!J19</f>
        <v>0.178</v>
      </c>
      <c r="K28" s="19">
        <f>Operating!K19</f>
        <v>0.18</v>
      </c>
    </row>
    <row r="29" spans="2:11">
      <c r="B29" s="10" t="s">
        <v>304</v>
      </c>
      <c r="E29" s="15">
        <f>Operating!E40</f>
        <v>70.1758928571429</v>
      </c>
      <c r="F29" s="15">
        <f>Operating!F40</f>
        <v>75.3969747488839</v>
      </c>
      <c r="G29" s="15">
        <f>Operating!G40</f>
        <v>80.6226528337969</v>
      </c>
      <c r="H29" s="15">
        <f>Operating!H40</f>
        <v>85.7876627002779</v>
      </c>
      <c r="I29" s="15">
        <f>Operating!I40</f>
        <v>90.2234500439005</v>
      </c>
      <c r="J29" s="15">
        <f>Operating!J40</f>
        <v>94.3667028939306</v>
      </c>
      <c r="K29" s="15">
        <f>Operating!K40</f>
        <v>98.0548986609669</v>
      </c>
    </row>
    <row r="30" spans="2:11">
      <c r="B30" s="5" t="s">
        <v>305</v>
      </c>
      <c r="E30" s="35">
        <f>Operating!E44</f>
        <v>8.77589285714286</v>
      </c>
      <c r="F30" s="35">
        <f>Operating!F44</f>
        <v>15.4917721819197</v>
      </c>
      <c r="G30" s="35">
        <f>Operating!G44</f>
        <v>22.6865566771807</v>
      </c>
      <c r="H30" s="35">
        <f>Operating!H44</f>
        <v>30.3288046089876</v>
      </c>
      <c r="I30" s="35">
        <f>Operating!I44</f>
        <v>37.7815637781199</v>
      </c>
      <c r="J30" s="35">
        <f>Operating!J44</f>
        <v>45.4681395699797</v>
      </c>
      <c r="K30" s="35">
        <f>Operating!K44</f>
        <v>53.2425226941458</v>
      </c>
    </row>
    <row r="31" spans="2:11">
      <c r="B31" s="10" t="s">
        <v>97</v>
      </c>
      <c r="D31" s="15">
        <f>Debt!D61</f>
        <v>550</v>
      </c>
      <c r="E31" s="15">
        <f>Debt!E61</f>
        <v>533.418080357143</v>
      </c>
      <c r="F31" s="15">
        <f>Debt!F61</f>
        <v>511.799251220703</v>
      </c>
      <c r="G31" s="15">
        <f>Debt!G61</f>
        <v>484.784333712818</v>
      </c>
      <c r="H31" s="15">
        <f>Debt!H61</f>
        <v>452.037730256077</v>
      </c>
      <c r="I31" s="15">
        <f>Debt!I61</f>
        <v>413.701557422487</v>
      </c>
      <c r="J31" s="15">
        <f>Debt!J61</f>
        <v>369.600452745002</v>
      </c>
      <c r="K31" s="15">
        <f>Debt!K61</f>
        <v>319.668560724393</v>
      </c>
    </row>
    <row r="32" spans="2:11">
      <c r="B32" s="10" t="s">
        <v>99</v>
      </c>
      <c r="D32" s="15">
        <f>Debt!D64</f>
        <v>530</v>
      </c>
      <c r="E32" s="15">
        <f>Debt!E64</f>
        <v>511.224107142857</v>
      </c>
      <c r="F32" s="15">
        <f>Debt!F64</f>
        <v>485.732334960938</v>
      </c>
      <c r="G32" s="15">
        <f>Debt!G64</f>
        <v>453.045778283757</v>
      </c>
      <c r="H32" s="15">
        <f>Debt!H64</f>
        <v>412.716973674769</v>
      </c>
      <c r="I32" s="15">
        <f>Debt!I64</f>
        <v>364.935409896649</v>
      </c>
      <c r="J32" s="15">
        <f>Debt!J64</f>
        <v>309.46727032667</v>
      </c>
      <c r="K32" s="15">
        <f>Debt!K64</f>
        <v>246.224747632524</v>
      </c>
    </row>
    <row r="33" spans="2:11">
      <c r="B33" s="5" t="s">
        <v>178</v>
      </c>
      <c r="D33" s="21">
        <f>Debt!D70</f>
        <v>5.5</v>
      </c>
      <c r="E33" s="21">
        <f>Debt!E70</f>
        <v>5.03224604110512</v>
      </c>
      <c r="F33" s="21">
        <f>Debt!F70</f>
        <v>4.46495880045019</v>
      </c>
      <c r="G33" s="21">
        <f>Debt!G70</f>
        <v>3.93198320103881</v>
      </c>
      <c r="H33" s="21">
        <f>Debt!H70</f>
        <v>3.42690690772764</v>
      </c>
      <c r="I33" s="21">
        <f>Debt!I70</f>
        <v>2.96395657230949</v>
      </c>
      <c r="J33" s="21">
        <f>Debt!J70</f>
        <v>2.50323649532635</v>
      </c>
      <c r="K33" s="21">
        <f>Debt!K70</f>
        <v>2.06859971459942</v>
      </c>
    </row>
    <row r="34" spans="2:11">
      <c r="B34" s="10" t="s">
        <v>179</v>
      </c>
      <c r="D34" s="18">
        <f>Debt!D71</f>
        <v>4</v>
      </c>
      <c r="E34" s="18">
        <f>Debt!E71</f>
        <v>3.61715170148248</v>
      </c>
      <c r="F34" s="18">
        <f>Debt!F71</f>
        <v>3.15635231368783</v>
      </c>
      <c r="G34" s="18">
        <f>Debt!G71</f>
        <v>2.71536492536406</v>
      </c>
      <c r="H34" s="18">
        <f>Debt!H71</f>
        <v>2.28975396284415</v>
      </c>
      <c r="I34" s="18">
        <f>Debt!I71</f>
        <v>1.88928455846356</v>
      </c>
      <c r="J34" s="18">
        <f>Debt!J71</f>
        <v>1.48731383746638</v>
      </c>
      <c r="K34" s="18">
        <f>Debt!K71</f>
        <v>1.09793823795382</v>
      </c>
    </row>
    <row r="35" spans="2:11">
      <c r="B35" s="10" t="s">
        <v>306</v>
      </c>
      <c r="E35" s="18">
        <f>Debt!E73</f>
        <v>2.04633204633205</v>
      </c>
      <c r="F35" s="18">
        <f>Debt!F73</f>
        <v>2.2766204541496</v>
      </c>
      <c r="G35" s="18">
        <f>Debt!G73</f>
        <v>2.54434796886075</v>
      </c>
      <c r="H35" s="18">
        <f>Debt!H73</f>
        <v>2.86174857246579</v>
      </c>
      <c r="I35" s="18">
        <f>Debt!I73</f>
        <v>3.22884464041475</v>
      </c>
      <c r="J35" s="18">
        <f>Debt!J73</f>
        <v>3.70290053788772</v>
      </c>
      <c r="K35" s="18">
        <f>Debt!K73</f>
        <v>4.29081280917771</v>
      </c>
    </row>
    <row r="36" spans="2:11">
      <c r="B36" s="10" t="s">
        <v>307</v>
      </c>
      <c r="E36" s="18">
        <f>Debt!E75</f>
        <v>1.20834778085992</v>
      </c>
      <c r="F36" s="18">
        <f>Debt!F75</f>
        <v>1.32180096306316</v>
      </c>
      <c r="G36" s="18">
        <f>Debt!G75</f>
        <v>1.45090660556078</v>
      </c>
      <c r="H36" s="18">
        <f>Debt!H75</f>
        <v>1.60001482531074</v>
      </c>
      <c r="I36" s="18">
        <f>Debt!I75</f>
        <v>1.76418581099933</v>
      </c>
      <c r="J36" s="18">
        <f>Debt!J75</f>
        <v>1.96886829591622</v>
      </c>
      <c r="K36" s="18">
        <f>Debt!K75</f>
        <v>2.20664272253963</v>
      </c>
    </row>
    <row r="54" spans="6:11">
      <c r="F54" s="8" t="s">
        <v>308</v>
      </c>
      <c r="G54" s="8"/>
      <c r="H54" s="34" t="s">
        <v>17</v>
      </c>
      <c r="I54" s="34" t="s">
        <v>309</v>
      </c>
      <c r="J54" s="34" t="s">
        <v>81</v>
      </c>
      <c r="K54" s="34" t="s">
        <v>310</v>
      </c>
    </row>
    <row r="55" spans="6:11">
      <c r="F55" s="10" t="s">
        <v>311</v>
      </c>
      <c r="H55" s="24">
        <f>Inputs!$D$25</f>
        <v>60</v>
      </c>
      <c r="J55" s="36">
        <f>Transaction!$G$18</f>
        <v>0.08</v>
      </c>
    </row>
    <row r="56" spans="6:11">
      <c r="F56" s="10" t="s">
        <v>34</v>
      </c>
      <c r="H56" s="24">
        <f>Transaction!$D$19</f>
        <v>400</v>
      </c>
      <c r="I56" s="37">
        <f>Transaction!$F$19</f>
        <v>4</v>
      </c>
      <c r="J56" s="36">
        <f>Transaction!$G$19</f>
        <v>0.0875</v>
      </c>
      <c r="K56" s="26">
        <f>Inputs!$E$39</f>
        <v>0.025</v>
      </c>
    </row>
    <row r="57" spans="6:11">
      <c r="F57" s="10" t="s">
        <v>36</v>
      </c>
      <c r="H57" s="24">
        <f>Transaction!$D$20</f>
        <v>150</v>
      </c>
      <c r="I57" s="37">
        <f>Transaction!$F$20</f>
        <v>1.5</v>
      </c>
      <c r="J57" s="36">
        <f>Transaction!$G$20</f>
        <v>0.11</v>
      </c>
    </row>
    <row r="58" spans="6:11">
      <c r="F58" s="10" t="s">
        <v>147</v>
      </c>
      <c r="K58" s="26">
        <f>Inputs!$D$37</f>
        <v>0.75</v>
      </c>
    </row>
    <row r="59" spans="6:11">
      <c r="F59" s="10" t="s">
        <v>312</v>
      </c>
      <c r="K59" s="38">
        <f>Inputs!$D$35</f>
        <v>0</v>
      </c>
    </row>
    <row r="60" spans="6:11">
      <c r="F60" s="10" t="s">
        <v>148</v>
      </c>
      <c r="K60" s="24">
        <f>Inputs!$D$20</f>
        <v>20</v>
      </c>
    </row>
    <row r="62" spans="6:11">
      <c r="F62" s="3" t="s">
        <v>313</v>
      </c>
    </row>
  </sheetData>
  <pageMargins left="0.7" right="0.7" top="0.75" bottom="0.75" header="0.3" footer="0.3"/>
  <pageSetup paperSize="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75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0</v>
      </c>
    </row>
    <row r="2" spans="2:11">
      <c r="B2" s="3" t="s">
        <v>1</v>
      </c>
    </row>
    <row r="4" spans="2:11">
      <c r="B4" s="8" t="s">
        <v>2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5" t="s">
        <v>3</v>
      </c>
      <c r="D5" s="39" t="s">
        <v>4</v>
      </c>
    </row>
    <row r="6" spans="2:11">
      <c r="B6" s="10" t="s">
        <v>5</v>
      </c>
      <c r="D6" s="40">
        <f>MATCH(D5,D7:D9,0)</f>
        <v>1</v>
      </c>
    </row>
    <row r="7" spans="2:11">
      <c r="B7" s="41" t="s">
        <v>6</v>
      </c>
      <c r="D7" s="42" t="s">
        <v>4</v>
      </c>
    </row>
    <row r="8" spans="2:11">
      <c r="B8" s="41" t="s">
        <v>7</v>
      </c>
      <c r="D8" s="42" t="s">
        <v>8</v>
      </c>
    </row>
    <row r="9" spans="2:11">
      <c r="B9" s="41" t="s">
        <v>9</v>
      </c>
      <c r="D9" s="42" t="s">
        <v>10</v>
      </c>
    </row>
    <row r="11" spans="2:11">
      <c r="B11" s="8" t="s">
        <v>11</v>
      </c>
      <c r="C11" s="8"/>
      <c r="D11" s="8"/>
      <c r="E11" s="8"/>
      <c r="F11" s="8"/>
      <c r="G11" s="8"/>
      <c r="H11" s="8"/>
      <c r="I11" s="8"/>
      <c r="J11" s="8"/>
      <c r="K11" s="8"/>
    </row>
    <row r="12" spans="2:11">
      <c r="B12" s="10" t="s">
        <v>12</v>
      </c>
      <c r="D12" s="43" t="s">
        <v>13</v>
      </c>
    </row>
    <row r="13" spans="2:11">
      <c r="B13" s="10" t="s">
        <v>14</v>
      </c>
      <c r="C13" s="3" t="s">
        <v>15</v>
      </c>
      <c r="D13" s="44">
        <v>2026</v>
      </c>
    </row>
    <row r="14" spans="2:11">
      <c r="B14" s="10" t="s">
        <v>16</v>
      </c>
      <c r="C14" s="3" t="s">
        <v>17</v>
      </c>
      <c r="D14" s="45">
        <v>625</v>
      </c>
    </row>
    <row r="15" spans="2:11">
      <c r="B15" s="10" t="s">
        <v>18</v>
      </c>
      <c r="C15" s="3" t="s">
        <v>17</v>
      </c>
      <c r="D15" s="45">
        <v>100</v>
      </c>
    </row>
    <row r="16" spans="2:11">
      <c r="B16" s="10" t="s">
        <v>19</v>
      </c>
      <c r="C16" s="3" t="s">
        <v>20</v>
      </c>
      <c r="D16" s="46">
        <v>9</v>
      </c>
    </row>
    <row r="17" spans="2:11">
      <c r="B17" s="10" t="s">
        <v>21</v>
      </c>
      <c r="C17" s="3" t="s">
        <v>22</v>
      </c>
      <c r="D17" s="47">
        <v>0.02</v>
      </c>
    </row>
    <row r="18" spans="2:11">
      <c r="B18" s="10" t="s">
        <v>23</v>
      </c>
      <c r="C18" s="3" t="s">
        <v>24</v>
      </c>
      <c r="D18" s="47">
        <v>0.025</v>
      </c>
    </row>
    <row r="19" spans="2:11">
      <c r="B19" s="10" t="s">
        <v>25</v>
      </c>
      <c r="C19" s="3" t="s">
        <v>26</v>
      </c>
      <c r="D19" s="44">
        <v>7</v>
      </c>
    </row>
    <row r="20" spans="2:11">
      <c r="B20" s="10" t="s">
        <v>27</v>
      </c>
      <c r="C20" s="3" t="s">
        <v>17</v>
      </c>
      <c r="D20" s="45">
        <v>20</v>
      </c>
    </row>
    <row r="21" spans="2:11">
      <c r="B21" s="10" t="s">
        <v>28</v>
      </c>
      <c r="C21" s="3" t="s">
        <v>17</v>
      </c>
      <c r="D21" s="45">
        <v>25</v>
      </c>
    </row>
    <row r="22" spans="2:11">
      <c r="B22" s="10" t="s">
        <v>29</v>
      </c>
      <c r="C22" s="3" t="s">
        <v>30</v>
      </c>
      <c r="D22" s="48">
        <v>0.05</v>
      </c>
    </row>
    <row r="24" spans="2:11">
      <c r="B24" s="8" t="s">
        <v>31</v>
      </c>
      <c r="C24" s="8"/>
      <c r="D24" s="8"/>
      <c r="E24" s="8"/>
      <c r="F24" s="8"/>
      <c r="G24" s="8"/>
      <c r="H24" s="8"/>
      <c r="I24" s="8"/>
      <c r="J24" s="8"/>
      <c r="K24" s="8"/>
    </row>
    <row r="25" spans="2:11">
      <c r="B25" s="10" t="s">
        <v>32</v>
      </c>
      <c r="C25" s="3" t="s">
        <v>17</v>
      </c>
      <c r="D25" s="45">
        <v>60</v>
      </c>
    </row>
    <row r="26" spans="2:11">
      <c r="B26" s="10" t="s">
        <v>33</v>
      </c>
      <c r="C26" s="3" t="s">
        <v>17</v>
      </c>
      <c r="D26" s="45">
        <v>0</v>
      </c>
    </row>
    <row r="27" spans="2:11">
      <c r="B27" s="10" t="s">
        <v>34</v>
      </c>
      <c r="C27" s="3" t="s">
        <v>35</v>
      </c>
      <c r="D27" s="46">
        <v>4</v>
      </c>
    </row>
    <row r="28" spans="2:11">
      <c r="B28" s="10" t="s">
        <v>36</v>
      </c>
      <c r="C28" s="3" t="s">
        <v>35</v>
      </c>
      <c r="D28" s="46">
        <v>1.5</v>
      </c>
    </row>
    <row r="29" spans="2:11">
      <c r="B29" s="10" t="s">
        <v>37</v>
      </c>
      <c r="C29" s="3" t="s">
        <v>38</v>
      </c>
      <c r="D29" s="47">
        <v>0.04</v>
      </c>
    </row>
    <row r="30" spans="2:11">
      <c r="B30" s="10" t="s">
        <v>39</v>
      </c>
      <c r="C30" s="3" t="s">
        <v>38</v>
      </c>
      <c r="D30" s="47">
        <v>0.04</v>
      </c>
    </row>
    <row r="31" spans="2:11">
      <c r="B31" s="10" t="s">
        <v>40</v>
      </c>
      <c r="C31" s="3" t="s">
        <v>38</v>
      </c>
      <c r="D31" s="47">
        <v>0.0475</v>
      </c>
    </row>
    <row r="32" spans="2:11">
      <c r="B32" s="10" t="s">
        <v>41</v>
      </c>
      <c r="C32" s="3" t="s">
        <v>38</v>
      </c>
      <c r="D32" s="47">
        <v>0.005</v>
      </c>
    </row>
    <row r="33" spans="2:11">
      <c r="B33" s="10" t="s">
        <v>42</v>
      </c>
      <c r="C33" s="3" t="s">
        <v>38</v>
      </c>
      <c r="D33" s="47">
        <v>0.11</v>
      </c>
    </row>
    <row r="34" spans="2:11">
      <c r="B34" s="10" t="s">
        <v>43</v>
      </c>
      <c r="C34" s="3" t="s">
        <v>38</v>
      </c>
      <c r="D34" s="47">
        <v>0.12</v>
      </c>
    </row>
    <row r="35" spans="2:11">
      <c r="B35" s="10" t="s">
        <v>44</v>
      </c>
      <c r="C35" s="3" t="s">
        <v>45</v>
      </c>
      <c r="D35" s="44">
        <v>0</v>
      </c>
    </row>
    <row r="36" spans="2:11">
      <c r="B36" s="10" t="s">
        <v>46</v>
      </c>
      <c r="C36" s="3" t="s">
        <v>38</v>
      </c>
      <c r="D36" s="47">
        <v>0.02</v>
      </c>
    </row>
    <row r="37" spans="2:11">
      <c r="B37" s="10" t="s">
        <v>47</v>
      </c>
      <c r="C37" s="3" t="s">
        <v>48</v>
      </c>
      <c r="D37" s="48">
        <v>0.75</v>
      </c>
    </row>
    <row r="38" spans="2:11">
      <c r="B38" s="8" t="s">
        <v>49</v>
      </c>
      <c r="C38" s="49" t="s">
        <v>50</v>
      </c>
      <c r="D38" s="49" t="s">
        <v>50</v>
      </c>
      <c r="E38" s="50">
        <f>COLUMN()-COLUMN($D$1)</f>
        <v>1</v>
      </c>
      <c r="F38" s="50">
        <f>COLUMN()-COLUMN($D$1)</f>
        <v>2</v>
      </c>
      <c r="G38" s="50">
        <f>COLUMN()-COLUMN($D$1)</f>
        <v>3</v>
      </c>
      <c r="H38" s="50">
        <f>COLUMN()-COLUMN($D$1)</f>
        <v>4</v>
      </c>
      <c r="I38" s="50">
        <f>COLUMN()-COLUMN($D$1)</f>
        <v>5</v>
      </c>
      <c r="J38" s="50">
        <f>COLUMN()-COLUMN($D$1)</f>
        <v>6</v>
      </c>
      <c r="K38" s="50">
        <f>COLUMN()-COLUMN($D$1)</f>
        <v>7</v>
      </c>
    </row>
    <row r="39" spans="2:11">
      <c r="B39" s="10" t="s">
        <v>51</v>
      </c>
      <c r="C39" s="3" t="s">
        <v>52</v>
      </c>
      <c r="E39" s="48">
        <v>0.025</v>
      </c>
      <c r="F39" s="48">
        <v>0.025</v>
      </c>
      <c r="G39" s="48">
        <v>0.025</v>
      </c>
      <c r="H39" s="48">
        <v>0.025</v>
      </c>
      <c r="I39" s="48">
        <v>0.025</v>
      </c>
      <c r="J39" s="48">
        <v>0.025</v>
      </c>
      <c r="K39" s="48">
        <v>0.025</v>
      </c>
    </row>
    <row r="41" spans="2:11">
      <c r="B41" s="8" t="s">
        <v>53</v>
      </c>
      <c r="C41" s="8"/>
      <c r="D41" s="8"/>
      <c r="E41" s="8"/>
      <c r="F41" s="8"/>
      <c r="G41" s="8"/>
      <c r="H41" s="8"/>
      <c r="I41" s="8"/>
      <c r="J41" s="8"/>
      <c r="K41" s="8"/>
    </row>
    <row r="42" spans="2:11">
      <c r="B42" s="10" t="s">
        <v>54</v>
      </c>
      <c r="C42" s="3" t="s">
        <v>55</v>
      </c>
      <c r="D42" s="48">
        <v>0.03</v>
      </c>
    </row>
    <row r="43" spans="2:11">
      <c r="B43" s="10" t="s">
        <v>56</v>
      </c>
      <c r="C43" s="3" t="s">
        <v>57</v>
      </c>
      <c r="D43" s="48">
        <v>0.12</v>
      </c>
    </row>
    <row r="44" spans="2:11">
      <c r="B44" s="10" t="s">
        <v>58</v>
      </c>
      <c r="C44" s="3" t="s">
        <v>59</v>
      </c>
      <c r="D44" s="48">
        <v>0.25</v>
      </c>
    </row>
    <row r="46" spans="2:11">
      <c r="B46" s="8" t="s">
        <v>60</v>
      </c>
      <c r="C46" s="8"/>
      <c r="D46" s="8"/>
      <c r="E46" s="8"/>
      <c r="F46" s="8"/>
      <c r="G46" s="8"/>
      <c r="H46" s="8"/>
      <c r="I46" s="8"/>
      <c r="J46" s="8"/>
      <c r="K46" s="8"/>
    </row>
    <row r="47" spans="2:11">
      <c r="B47" s="10" t="s">
        <v>61</v>
      </c>
      <c r="C47" s="3" t="s">
        <v>15</v>
      </c>
      <c r="D47" s="44">
        <v>5</v>
      </c>
    </row>
    <row r="48" spans="2:11">
      <c r="B48" s="10" t="s">
        <v>63</v>
      </c>
      <c r="C48" s="3" t="s">
        <v>20</v>
      </c>
      <c r="D48" s="51">
        <f>D75</f>
        <v>9</v>
      </c>
    </row>
    <row r="49" spans="2:11">
      <c r="B49" s="10" t="s">
        <v>62</v>
      </c>
      <c r="C49" s="3" t="s">
        <v>20</v>
      </c>
      <c r="D49" s="46">
        <v>0.5</v>
      </c>
    </row>
    <row r="51" spans="2:11">
      <c r="B51" s="8" t="s">
        <v>64</v>
      </c>
      <c r="C51" s="8"/>
      <c r="D51" s="8"/>
      <c r="E51" s="8"/>
      <c r="F51" s="8"/>
      <c r="G51" s="8"/>
      <c r="H51" s="8"/>
      <c r="I51" s="8"/>
      <c r="J51" s="8"/>
      <c r="K51" s="8"/>
    </row>
    <row r="52" spans="2:11">
      <c r="B52" s="8" t="s">
        <v>49</v>
      </c>
      <c r="C52" s="49" t="s">
        <v>50</v>
      </c>
      <c r="D52" s="49" t="s">
        <v>50</v>
      </c>
      <c r="E52" s="50">
        <f>COLUMN()-COLUMN($D$1)</f>
        <v>1</v>
      </c>
      <c r="F52" s="50">
        <f>COLUMN()-COLUMN($D$1)</f>
        <v>2</v>
      </c>
      <c r="G52" s="50">
        <f>COLUMN()-COLUMN($D$1)</f>
        <v>3</v>
      </c>
      <c r="H52" s="50">
        <f>COLUMN()-COLUMN($D$1)</f>
        <v>4</v>
      </c>
      <c r="I52" s="50">
        <f>COLUMN()-COLUMN($D$1)</f>
        <v>5</v>
      </c>
      <c r="J52" s="50">
        <f>COLUMN()-COLUMN($D$1)</f>
        <v>6</v>
      </c>
      <c r="K52" s="50">
        <f>COLUMN()-COLUMN($D$1)</f>
        <v>7</v>
      </c>
    </row>
    <row r="53" spans="2:11">
      <c r="B53" s="5" t="s">
        <v>50</v>
      </c>
      <c r="D53" s="52" t="str">
        <f>D7</f>
        <v>Base</v>
      </c>
    </row>
    <row r="54" spans="2:11">
      <c r="B54" s="41" t="s">
        <v>65</v>
      </c>
      <c r="C54" s="3" t="s">
        <v>66</v>
      </c>
      <c r="E54" s="48">
        <v>0.06</v>
      </c>
      <c r="F54" s="48">
        <v>0.055</v>
      </c>
      <c r="G54" s="48">
        <v>0.05</v>
      </c>
      <c r="H54" s="48">
        <v>0.045</v>
      </c>
      <c r="I54" s="48">
        <v>0.04</v>
      </c>
      <c r="J54" s="48">
        <v>0.04</v>
      </c>
      <c r="K54" s="48">
        <v>0.035</v>
      </c>
    </row>
    <row r="55" spans="2:11">
      <c r="B55" s="41" t="s">
        <v>67</v>
      </c>
      <c r="C55" s="3" t="s">
        <v>55</v>
      </c>
      <c r="E55" s="48">
        <v>0.16</v>
      </c>
      <c r="F55" s="48">
        <v>0.164</v>
      </c>
      <c r="G55" s="48">
        <v>0.168</v>
      </c>
      <c r="H55" s="48">
        <v>0.172</v>
      </c>
      <c r="I55" s="48">
        <v>0.175</v>
      </c>
      <c r="J55" s="48">
        <v>0.178</v>
      </c>
      <c r="K55" s="48">
        <v>0.18</v>
      </c>
    </row>
    <row r="56" spans="2:11">
      <c r="B56" s="41" t="s">
        <v>68</v>
      </c>
      <c r="C56" s="3" t="s">
        <v>55</v>
      </c>
      <c r="D56" s="48">
        <v>0.035</v>
      </c>
    </row>
    <row r="57" spans="2:11">
      <c r="B57" s="41" t="s">
        <v>69</v>
      </c>
      <c r="C57" s="3" t="s">
        <v>20</v>
      </c>
      <c r="D57" s="46">
        <v>9</v>
      </c>
    </row>
    <row r="59" spans="2:11">
      <c r="B59" s="5" t="s">
        <v>50</v>
      </c>
      <c r="D59" s="52" t="str">
        <f>D8</f>
        <v>Management</v>
      </c>
    </row>
    <row r="60" spans="2:11">
      <c r="B60" s="41" t="s">
        <v>65</v>
      </c>
      <c r="C60" s="3" t="s">
        <v>66</v>
      </c>
      <c r="E60" s="48">
        <v>0.075</v>
      </c>
      <c r="F60" s="48">
        <v>0.075</v>
      </c>
      <c r="G60" s="48">
        <v>0.065</v>
      </c>
      <c r="H60" s="48">
        <v>0.06</v>
      </c>
      <c r="I60" s="48">
        <v>0.055</v>
      </c>
      <c r="J60" s="48">
        <v>0.05</v>
      </c>
      <c r="K60" s="48">
        <v>0.045</v>
      </c>
    </row>
    <row r="61" spans="2:11">
      <c r="B61" s="41" t="s">
        <v>67</v>
      </c>
      <c r="C61" s="3" t="s">
        <v>55</v>
      </c>
      <c r="E61" s="48">
        <v>0.165</v>
      </c>
      <c r="F61" s="48">
        <v>0.171</v>
      </c>
      <c r="G61" s="48">
        <v>0.177</v>
      </c>
      <c r="H61" s="48">
        <v>0.182</v>
      </c>
      <c r="I61" s="48">
        <v>0.187</v>
      </c>
      <c r="J61" s="48">
        <v>0.191</v>
      </c>
      <c r="K61" s="48">
        <v>0.194</v>
      </c>
    </row>
    <row r="62" spans="2:11">
      <c r="B62" s="41" t="s">
        <v>68</v>
      </c>
      <c r="C62" s="3" t="s">
        <v>55</v>
      </c>
      <c r="D62" s="48">
        <v>0.035</v>
      </c>
    </row>
    <row r="63" spans="2:11">
      <c r="B63" s="41" t="s">
        <v>69</v>
      </c>
      <c r="C63" s="3" t="s">
        <v>20</v>
      </c>
      <c r="D63" s="46">
        <v>9.5</v>
      </c>
    </row>
    <row r="65" spans="2:11">
      <c r="B65" s="5" t="s">
        <v>50</v>
      </c>
      <c r="D65" s="52" t="str">
        <f>D9</f>
        <v>Downside</v>
      </c>
    </row>
    <row r="66" spans="2:11">
      <c r="B66" s="41" t="s">
        <v>65</v>
      </c>
      <c r="C66" s="3" t="s">
        <v>66</v>
      </c>
      <c r="E66" s="48">
        <v>0.01</v>
      </c>
      <c r="F66" s="48">
        <v>-0.06</v>
      </c>
      <c r="G66" s="48">
        <v>0</v>
      </c>
      <c r="H66" s="48">
        <v>0.02</v>
      </c>
      <c r="I66" s="48">
        <v>0.03</v>
      </c>
      <c r="J66" s="48">
        <v>0.03</v>
      </c>
      <c r="K66" s="48">
        <v>0.03</v>
      </c>
    </row>
    <row r="67" spans="2:11">
      <c r="B67" s="41" t="s">
        <v>67</v>
      </c>
      <c r="C67" s="3" t="s">
        <v>55</v>
      </c>
      <c r="E67" s="48">
        <v>0.153</v>
      </c>
      <c r="F67" s="48">
        <v>0.135</v>
      </c>
      <c r="G67" s="48">
        <v>0.14</v>
      </c>
      <c r="H67" s="48">
        <v>0.146</v>
      </c>
      <c r="I67" s="48">
        <v>0.15</v>
      </c>
      <c r="J67" s="48">
        <v>0.153</v>
      </c>
      <c r="K67" s="48">
        <v>0.155</v>
      </c>
    </row>
    <row r="68" spans="2:11">
      <c r="B68" s="41" t="s">
        <v>68</v>
      </c>
      <c r="C68" s="3" t="s">
        <v>55</v>
      </c>
      <c r="D68" s="48">
        <v>0.04</v>
      </c>
    </row>
    <row r="69" spans="2:11">
      <c r="B69" s="41" t="s">
        <v>69</v>
      </c>
      <c r="C69" s="3" t="s">
        <v>20</v>
      </c>
      <c r="D69" s="46">
        <v>8</v>
      </c>
    </row>
    <row r="71" spans="2:11">
      <c r="B71" s="8" t="s">
        <v>70</v>
      </c>
      <c r="C71" s="8"/>
      <c r="D71" s="8"/>
      <c r="E71" s="8"/>
      <c r="F71" s="8"/>
      <c r="G71" s="8"/>
      <c r="H71" s="8"/>
      <c r="I71" s="8"/>
      <c r="J71" s="8"/>
      <c r="K71" s="8"/>
    </row>
    <row r="72" spans="2:11">
      <c r="B72" s="10" t="s">
        <v>65</v>
      </c>
      <c r="C72" s="3" t="s">
        <v>66</v>
      </c>
      <c r="E72" s="25">
        <f>CHOOSE($D$6,E54,E60,E66)</f>
        <v>0.06</v>
      </c>
      <c r="F72" s="25">
        <f>CHOOSE($D$6,F54,F60,F66)</f>
        <v>0.055</v>
      </c>
      <c r="G72" s="25">
        <f>CHOOSE($D$6,G54,G60,G66)</f>
        <v>0.05</v>
      </c>
      <c r="H72" s="25">
        <f>CHOOSE($D$6,H54,H60,H66)</f>
        <v>0.045</v>
      </c>
      <c r="I72" s="25">
        <f>CHOOSE($D$6,I54,I60,I66)</f>
        <v>0.04</v>
      </c>
      <c r="J72" s="25">
        <f>CHOOSE($D$6,J54,J60,J66)</f>
        <v>0.04</v>
      </c>
      <c r="K72" s="25">
        <f>CHOOSE($D$6,K54,K60,K66)</f>
        <v>0.035</v>
      </c>
    </row>
    <row r="73" spans="2:11">
      <c r="B73" s="10" t="s">
        <v>67</v>
      </c>
      <c r="C73" s="3" t="s">
        <v>55</v>
      </c>
      <c r="E73" s="25">
        <f>CHOOSE($D$6,E55,E61,E67)</f>
        <v>0.16</v>
      </c>
      <c r="F73" s="25">
        <f>CHOOSE($D$6,F55,F61,F67)</f>
        <v>0.164</v>
      </c>
      <c r="G73" s="25">
        <f>CHOOSE($D$6,G55,G61,G67)</f>
        <v>0.168</v>
      </c>
      <c r="H73" s="25">
        <f>CHOOSE($D$6,H55,H61,H67)</f>
        <v>0.172</v>
      </c>
      <c r="I73" s="25">
        <f>CHOOSE($D$6,I55,I61,I67)</f>
        <v>0.175</v>
      </c>
      <c r="J73" s="25">
        <f>CHOOSE($D$6,J55,J61,J67)</f>
        <v>0.178</v>
      </c>
      <c r="K73" s="25">
        <f>CHOOSE($D$6,K55,K61,K67)</f>
        <v>0.18</v>
      </c>
    </row>
    <row r="74" spans="2:11">
      <c r="B74" s="10" t="s">
        <v>68</v>
      </c>
      <c r="C74" s="3" t="s">
        <v>55</v>
      </c>
      <c r="D74" s="25">
        <f>CHOOSE($D$6,D56,D62,D68)</f>
        <v>0.035</v>
      </c>
    </row>
    <row r="75" spans="2:11">
      <c r="B75" s="10" t="s">
        <v>69</v>
      </c>
      <c r="C75" s="3" t="s">
        <v>20</v>
      </c>
      <c r="D75" s="51">
        <f>CHOOSE($D$6,D57,D63,D69)</f>
        <v>9</v>
      </c>
    </row>
  </sheetData>
  <dataValidations count="3">
    <dataValidation type="list" allowBlank="1" showInputMessage="1" showErrorMessage="1" promptTitle="Scenario" prompt="Pick Base, Management or Downside." sqref="D5">
      <formula1>$D$7:$D$9</formula1>
    </dataValidation>
    <dataValidation type="list" allowBlank="1" showInputMessage="1" showErrorMessage="1" sqref="D35">
      <formula1>"0,1"</formula1>
    </dataValidation>
    <dataValidation type="list" allowBlank="1" showInputMessage="1" showErrorMessage="1" sqref="D47">
      <formula1>"3,4,5,6,7"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4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71</v>
      </c>
    </row>
    <row r="2" spans="2:11">
      <c r="B2" s="3" t="s">
        <v>72</v>
      </c>
    </row>
    <row r="4" spans="2:11">
      <c r="B4" s="8" t="s">
        <v>73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10" t="s">
        <v>18</v>
      </c>
      <c r="D5" s="24">
        <f>Inputs!$D$15</f>
        <v>100</v>
      </c>
    </row>
    <row r="6" spans="2:11">
      <c r="B6" s="10" t="s">
        <v>19</v>
      </c>
      <c r="D6" s="53">
        <f>Inputs!$D$16</f>
        <v>9</v>
      </c>
    </row>
    <row r="7" spans="2:11">
      <c r="B7" s="10" t="s">
        <v>74</v>
      </c>
      <c r="D7" s="31">
        <f>D5*D6</f>
        <v>900</v>
      </c>
    </row>
    <row r="8" spans="2:11">
      <c r="B8" s="10" t="s">
        <v>75</v>
      </c>
      <c r="D8" s="36">
        <f>Inputs!$D$17</f>
        <v>0.02</v>
      </c>
    </row>
    <row r="9" spans="2:11">
      <c r="B9" s="10" t="s">
        <v>21</v>
      </c>
      <c r="D9" s="31">
        <f>D7*D8</f>
        <v>18</v>
      </c>
    </row>
    <row r="10" spans="2:11">
      <c r="B10" s="10" t="s">
        <v>76</v>
      </c>
      <c r="D10" s="36">
        <f>Inputs!$D$18</f>
        <v>0.025</v>
      </c>
    </row>
    <row r="11" spans="2:11">
      <c r="B11" s="10" t="s">
        <v>32</v>
      </c>
      <c r="D11" s="24">
        <f>Inputs!$D$25</f>
        <v>60</v>
      </c>
    </row>
    <row r="12" spans="2:11">
      <c r="B12" s="10" t="s">
        <v>77</v>
      </c>
      <c r="D12" s="31">
        <f>D11+D19+D20</f>
        <v>610</v>
      </c>
    </row>
    <row r="13" spans="2:11">
      <c r="B13" s="10" t="s">
        <v>23</v>
      </c>
      <c r="D13" s="31">
        <f>D12*D10</f>
        <v>15.25</v>
      </c>
    </row>
    <row r="14" spans="2:11">
      <c r="B14" s="10" t="s">
        <v>78</v>
      </c>
      <c r="D14" s="24">
        <f>Inputs!$D$20</f>
        <v>20</v>
      </c>
    </row>
    <row r="16" spans="2:11">
      <c r="B16" s="8" t="s">
        <v>79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>
      <c r="B17" s="54" t="s">
        <v>82</v>
      </c>
      <c r="C17" s="55" t="s">
        <v>50</v>
      </c>
      <c r="D17" s="56" t="s">
        <v>17</v>
      </c>
      <c r="E17" s="56" t="s">
        <v>80</v>
      </c>
      <c r="F17" s="56" t="s">
        <v>35</v>
      </c>
      <c r="G17" s="56" t="s">
        <v>81</v>
      </c>
    </row>
    <row r="18" spans="2:11">
      <c r="B18" s="41" t="s">
        <v>85</v>
      </c>
      <c r="D18" s="24">
        <f>Inputs!$D$26</f>
        <v>0</v>
      </c>
      <c r="E18" s="25">
        <f>D18/$D$23</f>
        <v>0</v>
      </c>
      <c r="F18" s="57">
        <f>D18/D5</f>
        <v>0</v>
      </c>
      <c r="G18" s="36">
        <f>Debt!$D$11</f>
        <v>0.08</v>
      </c>
    </row>
    <row r="19" spans="2:11">
      <c r="B19" s="41" t="s">
        <v>34</v>
      </c>
      <c r="D19" s="31">
        <f>Inputs!$D$27*D5</f>
        <v>400</v>
      </c>
      <c r="E19" s="25">
        <f>D19/$D$23</f>
        <v>0.4196170993968</v>
      </c>
      <c r="F19" s="57">
        <f>D19/D5</f>
        <v>4</v>
      </c>
      <c r="G19" s="36">
        <f>Debt!$D$13</f>
        <v>0.0875</v>
      </c>
    </row>
    <row r="20" spans="2:11">
      <c r="B20" s="41" t="s">
        <v>36</v>
      </c>
      <c r="D20" s="31">
        <f>Inputs!$D$28*D5</f>
        <v>150</v>
      </c>
      <c r="E20" s="25">
        <f>D20/$D$23</f>
        <v>0.1573564122738</v>
      </c>
      <c r="F20" s="57">
        <f>D20/D5</f>
        <v>1.5</v>
      </c>
      <c r="G20" s="36">
        <f>Debt!$D$14</f>
        <v>0.11</v>
      </c>
    </row>
    <row r="21" spans="2:11">
      <c r="B21" s="41" t="s">
        <v>28</v>
      </c>
      <c r="D21" s="24">
        <f>Inputs!$D$21</f>
        <v>25</v>
      </c>
      <c r="E21" s="25">
        <f>D21/$D$23</f>
        <v>0.0262260687123</v>
      </c>
      <c r="F21" s="57">
        <f>D21/D5</f>
        <v>0.25</v>
      </c>
    </row>
    <row r="22" spans="2:11">
      <c r="B22" s="41" t="s">
        <v>86</v>
      </c>
      <c r="D22" s="31">
        <f>D31-D18-D19-D20-D21</f>
        <v>378.25</v>
      </c>
      <c r="E22" s="25">
        <f>D22/$D$23</f>
        <v>0.396800419617099</v>
      </c>
      <c r="F22" s="57">
        <f>D22/D5</f>
        <v>3.7825</v>
      </c>
    </row>
    <row r="23" spans="2:11">
      <c r="B23" s="27" t="s">
        <v>89</v>
      </c>
      <c r="C23" s="58" t="s">
        <v>50</v>
      </c>
      <c r="D23" s="59">
        <f>SUM(D18:D22)</f>
        <v>953.25</v>
      </c>
      <c r="E23" s="30">
        <f>D23/$D$23</f>
        <v>1</v>
      </c>
      <c r="F23" s="60">
        <f>D23/D5</f>
        <v>9.5325</v>
      </c>
      <c r="G23" s="28" t="s">
        <v>50</v>
      </c>
    </row>
    <row r="25" spans="2:11">
      <c r="B25" s="8" t="s">
        <v>83</v>
      </c>
      <c r="C25" s="8"/>
      <c r="D25" s="8"/>
      <c r="E25" s="8"/>
      <c r="F25" s="8"/>
      <c r="G25" s="8"/>
      <c r="H25" s="8"/>
      <c r="I25" s="8"/>
      <c r="J25" s="8"/>
      <c r="K25" s="8"/>
    </row>
    <row r="26" spans="2:11">
      <c r="B26" s="54" t="s">
        <v>84</v>
      </c>
      <c r="C26" s="55" t="s">
        <v>50</v>
      </c>
      <c r="D26" s="56" t="s">
        <v>17</v>
      </c>
      <c r="E26" s="56" t="s">
        <v>80</v>
      </c>
      <c r="F26" s="56" t="s">
        <v>35</v>
      </c>
      <c r="G26" s="56" t="s">
        <v>50</v>
      </c>
    </row>
    <row r="27" spans="2:11">
      <c r="B27" s="41" t="s">
        <v>87</v>
      </c>
      <c r="D27" s="31">
        <f>D7</f>
        <v>900</v>
      </c>
      <c r="E27" s="25">
        <f>D27/$D$31</f>
        <v>0.944138473642801</v>
      </c>
      <c r="F27" s="57">
        <f>D27/D5</f>
        <v>9</v>
      </c>
    </row>
    <row r="28" spans="2:11">
      <c r="B28" s="41" t="s">
        <v>21</v>
      </c>
      <c r="D28" s="31">
        <f>D9</f>
        <v>18</v>
      </c>
      <c r="E28" s="25">
        <f>D28/$D$31</f>
        <v>0.018882769472856</v>
      </c>
      <c r="F28" s="57">
        <f>D28/D5</f>
        <v>0.18</v>
      </c>
    </row>
    <row r="29" spans="2:11">
      <c r="B29" s="41" t="s">
        <v>23</v>
      </c>
      <c r="D29" s="31">
        <f>D13</f>
        <v>15.25</v>
      </c>
      <c r="E29" s="25">
        <f>D29/$D$31</f>
        <v>0.015997901914503</v>
      </c>
      <c r="F29" s="57">
        <f>D29/D5</f>
        <v>0.1525</v>
      </c>
    </row>
    <row r="30" spans="2:11">
      <c r="B30" s="41" t="s">
        <v>88</v>
      </c>
      <c r="D30" s="31">
        <f>D14</f>
        <v>20</v>
      </c>
      <c r="E30" s="25">
        <f>D30/$D$31</f>
        <v>0.02098085496984</v>
      </c>
      <c r="F30" s="57">
        <f>D30/D5</f>
        <v>0.2</v>
      </c>
    </row>
    <row r="31" spans="2:11">
      <c r="B31" s="27" t="s">
        <v>90</v>
      </c>
      <c r="C31" s="58" t="s">
        <v>50</v>
      </c>
      <c r="D31" s="59">
        <f>SUM(D27:D30)</f>
        <v>953.25</v>
      </c>
      <c r="E31" s="30">
        <f>D31/$D$31</f>
        <v>1</v>
      </c>
      <c r="F31" s="60">
        <f>D31/D5</f>
        <v>9.5325</v>
      </c>
      <c r="G31" s="28" t="s">
        <v>50</v>
      </c>
    </row>
    <row r="33" spans="2:11">
      <c r="B33" s="5" t="s">
        <v>91</v>
      </c>
      <c r="D33" s="61">
        <f>D23-D31</f>
        <v>0</v>
      </c>
    </row>
    <row r="35" spans="2:11">
      <c r="B35" s="8" t="s">
        <v>92</v>
      </c>
      <c r="C35" s="8"/>
      <c r="D35" s="8"/>
      <c r="E35" s="8"/>
      <c r="F35" s="8"/>
      <c r="G35" s="8"/>
      <c r="H35" s="8"/>
      <c r="I35" s="8"/>
      <c r="J35" s="8"/>
      <c r="K35" s="8"/>
    </row>
    <row r="36" spans="2:11">
      <c r="B36" s="54" t="s">
        <v>93</v>
      </c>
      <c r="C36" s="55" t="s">
        <v>50</v>
      </c>
      <c r="D36" s="56" t="s">
        <v>17</v>
      </c>
      <c r="E36" s="56" t="s">
        <v>94</v>
      </c>
      <c r="F36" s="56" t="s">
        <v>35</v>
      </c>
    </row>
    <row r="37" spans="2:11">
      <c r="B37" s="41" t="s">
        <v>95</v>
      </c>
      <c r="D37" s="31">
        <f>D18</f>
        <v>0</v>
      </c>
      <c r="E37" s="25">
        <f>D37/$D$45</f>
        <v>0</v>
      </c>
      <c r="F37" s="57">
        <f>D37/D5</f>
        <v>0</v>
      </c>
    </row>
    <row r="38" spans="2:11">
      <c r="B38" s="41" t="s">
        <v>34</v>
      </c>
      <c r="D38" s="31">
        <f>D19</f>
        <v>400</v>
      </c>
      <c r="E38" s="25">
        <f>D38/$D$45</f>
        <v>0.4196170993968</v>
      </c>
      <c r="F38" s="57">
        <f>D38/D5</f>
        <v>4</v>
      </c>
    </row>
    <row r="39" spans="2:11">
      <c r="B39" s="27" t="s">
        <v>96</v>
      </c>
      <c r="C39" s="58" t="s">
        <v>50</v>
      </c>
      <c r="D39" s="59">
        <f>D37+D38</f>
        <v>400</v>
      </c>
      <c r="E39" s="30">
        <f>D39/$D$45</f>
        <v>0.4196170993968</v>
      </c>
      <c r="F39" s="60">
        <f>D39/D5</f>
        <v>4</v>
      </c>
    </row>
    <row r="40" spans="2:11">
      <c r="B40" s="41" t="s">
        <v>36</v>
      </c>
      <c r="D40" s="31">
        <f>D20</f>
        <v>150</v>
      </c>
      <c r="E40" s="25">
        <f>D40/$D$45</f>
        <v>0.1573564122738</v>
      </c>
      <c r="F40" s="57">
        <f>D40/D5</f>
        <v>1.5</v>
      </c>
    </row>
    <row r="41" spans="2:11">
      <c r="B41" s="27" t="s">
        <v>97</v>
      </c>
      <c r="C41" s="58" t="s">
        <v>50</v>
      </c>
      <c r="D41" s="59">
        <f>D39+D40</f>
        <v>550</v>
      </c>
      <c r="E41" s="30">
        <f>D41/$D$45</f>
        <v>0.576973511670601</v>
      </c>
      <c r="F41" s="60">
        <f>D41/D5</f>
        <v>5.5</v>
      </c>
    </row>
    <row r="42" spans="2:11">
      <c r="B42" s="41" t="s">
        <v>98</v>
      </c>
      <c r="D42" s="31">
        <f>D30</f>
        <v>20</v>
      </c>
      <c r="E42" s="10" t="s">
        <v>50</v>
      </c>
      <c r="F42" s="57">
        <f>D42/D5</f>
        <v>0.2</v>
      </c>
    </row>
    <row r="43" spans="2:11">
      <c r="B43" s="27" t="s">
        <v>99</v>
      </c>
      <c r="C43" s="58" t="s">
        <v>50</v>
      </c>
      <c r="D43" s="59">
        <f>D41-D42</f>
        <v>530</v>
      </c>
      <c r="E43" s="28" t="s">
        <v>50</v>
      </c>
      <c r="F43" s="60">
        <f>D43/D5</f>
        <v>5.3</v>
      </c>
    </row>
    <row r="44" spans="2:11">
      <c r="B44" s="41" t="s">
        <v>100</v>
      </c>
      <c r="D44" s="31">
        <f>D22+D21</f>
        <v>403.25</v>
      </c>
      <c r="E44" s="25">
        <f>D44/$D$45</f>
        <v>0.423026488329399</v>
      </c>
      <c r="F44" s="57">
        <f>D44/D5</f>
        <v>4.0325</v>
      </c>
    </row>
    <row r="45" spans="2:11">
      <c r="B45" s="27" t="s">
        <v>101</v>
      </c>
      <c r="C45" s="58" t="s">
        <v>50</v>
      </c>
      <c r="D45" s="59">
        <f>D41+D44</f>
        <v>953.25</v>
      </c>
      <c r="E45" s="30">
        <f>D45/$D$45</f>
        <v>1</v>
      </c>
      <c r="F45" s="60">
        <f>D45/D5</f>
        <v>9.5325</v>
      </c>
    </row>
    <row r="47" spans="2:11">
      <c r="B47" s="8" t="s">
        <v>102</v>
      </c>
      <c r="C47" s="8"/>
      <c r="D47" s="8"/>
      <c r="E47" s="8"/>
      <c r="F47" s="8"/>
      <c r="G47" s="8"/>
      <c r="H47" s="8"/>
      <c r="I47" s="8"/>
      <c r="J47" s="8"/>
      <c r="K47" s="8"/>
    </row>
    <row r="48" spans="2:11">
      <c r="B48" s="41" t="s">
        <v>103</v>
      </c>
      <c r="D48" s="25">
        <f>D22/D44</f>
        <v>0.938003719776813</v>
      </c>
    </row>
    <row r="49" spans="2:4">
      <c r="B49" s="41" t="s">
        <v>104</v>
      </c>
      <c r="D49" s="25">
        <f>D21/D44</f>
        <v>0.0619962802231866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4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105</v>
      </c>
    </row>
    <row r="2" spans="2:11">
      <c r="B2" s="3" t="s">
        <v>106</v>
      </c>
    </row>
    <row r="4" spans="2:11">
      <c r="B4" s="8" t="s">
        <v>49</v>
      </c>
      <c r="C4" s="62" t="s">
        <v>50</v>
      </c>
      <c r="D4" s="50">
        <f>COLUMN()-COLUMN($D$1)</f>
        <v>0</v>
      </c>
      <c r="E4" s="50">
        <f>COLUMN()-COLUMN($D$1)</f>
        <v>1</v>
      </c>
      <c r="F4" s="50">
        <f>COLUMN()-COLUMN($D$1)</f>
        <v>2</v>
      </c>
      <c r="G4" s="50">
        <f>COLUMN()-COLUMN($D$1)</f>
        <v>3</v>
      </c>
      <c r="H4" s="50">
        <f>COLUMN()-COLUMN($D$1)</f>
        <v>4</v>
      </c>
      <c r="I4" s="50">
        <f>COLUMN()-COLUMN($D$1)</f>
        <v>5</v>
      </c>
      <c r="J4" s="50">
        <f>COLUMN()-COLUMN($D$1)</f>
        <v>6</v>
      </c>
      <c r="K4" s="50">
        <f>COLUMN()-COLUMN($D$1)</f>
        <v>7</v>
      </c>
    </row>
    <row r="5" spans="2:11">
      <c r="B5" s="8" t="s">
        <v>107</v>
      </c>
      <c r="C5" s="62" t="s">
        <v>50</v>
      </c>
      <c r="D5" s="63">
        <f>$D$8+D4</f>
        <v>2026</v>
      </c>
      <c r="E5" s="64">
        <f>$D$8+E4</f>
        <v>2027</v>
      </c>
      <c r="F5" s="64">
        <f>$D$8+F4</f>
        <v>2028</v>
      </c>
      <c r="G5" s="64">
        <f>$D$8+G4</f>
        <v>2029</v>
      </c>
      <c r="H5" s="64">
        <f>$D$8+H4</f>
        <v>2030</v>
      </c>
      <c r="I5" s="64">
        <f>$D$8+I4</f>
        <v>2031</v>
      </c>
      <c r="J5" s="64">
        <f>$D$8+J4</f>
        <v>2032</v>
      </c>
      <c r="K5" s="64">
        <f>$D$8+K4</f>
        <v>2033</v>
      </c>
    </row>
    <row r="7" spans="2:11">
      <c r="B7" s="8" t="s">
        <v>108</v>
      </c>
      <c r="C7" s="8"/>
      <c r="D7" s="8"/>
      <c r="E7" s="8"/>
      <c r="F7" s="8"/>
      <c r="G7" s="8"/>
      <c r="H7" s="8"/>
      <c r="I7" s="8"/>
      <c r="J7" s="8"/>
      <c r="K7" s="8"/>
    </row>
    <row r="8" spans="2:11">
      <c r="B8" s="10" t="s">
        <v>109</v>
      </c>
      <c r="D8" s="38">
        <f>Inputs!$D$13</f>
        <v>2026</v>
      </c>
    </row>
    <row r="9" spans="2:11">
      <c r="B9" s="10" t="s">
        <v>110</v>
      </c>
      <c r="D9" s="26">
        <f>Inputs!$D$42</f>
        <v>0.03</v>
      </c>
    </row>
    <row r="10" spans="2:11">
      <c r="B10" s="10" t="s">
        <v>111</v>
      </c>
      <c r="D10" s="26">
        <f>Inputs!$D$43</f>
        <v>0.12</v>
      </c>
    </row>
    <row r="11" spans="2:11">
      <c r="B11" s="10" t="s">
        <v>58</v>
      </c>
      <c r="D11" s="26">
        <f>Inputs!$D$44</f>
        <v>0.25</v>
      </c>
    </row>
    <row r="12" spans="2:11">
      <c r="B12" s="10" t="s">
        <v>112</v>
      </c>
      <c r="D12" s="26">
        <f>Inputs!$D$74</f>
        <v>0.035</v>
      </c>
    </row>
    <row r="13" spans="2:11">
      <c r="B13" s="10" t="s">
        <v>113</v>
      </c>
      <c r="D13" s="38">
        <f>Inputs!$D$19</f>
        <v>7</v>
      </c>
    </row>
    <row r="14" spans="2:11">
      <c r="B14" s="10" t="s">
        <v>114</v>
      </c>
      <c r="D14" s="24">
        <f>Transaction!$D$13</f>
        <v>15.25</v>
      </c>
    </row>
    <row r="16" spans="2:11">
      <c r="B16" s="8" t="s">
        <v>115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>
      <c r="B17" s="10" t="s">
        <v>65</v>
      </c>
      <c r="C17" s="3" t="s">
        <v>38</v>
      </c>
      <c r="E17" s="65">
        <f>Inputs!$E$72</f>
        <v>0.06</v>
      </c>
      <c r="F17" s="65">
        <f>Inputs!$F$72</f>
        <v>0.055</v>
      </c>
      <c r="G17" s="65">
        <f>Inputs!$G$72</f>
        <v>0.05</v>
      </c>
      <c r="H17" s="65">
        <f>Inputs!$H$72</f>
        <v>0.045</v>
      </c>
      <c r="I17" s="65">
        <f>Inputs!$I$72</f>
        <v>0.04</v>
      </c>
      <c r="J17" s="65">
        <f>Inputs!$J$72</f>
        <v>0.04</v>
      </c>
      <c r="K17" s="65">
        <f>Inputs!$K$72</f>
        <v>0.035</v>
      </c>
    </row>
    <row r="18" spans="2:11">
      <c r="B18" s="5" t="s">
        <v>116</v>
      </c>
      <c r="C18" s="3" t="s">
        <v>17</v>
      </c>
      <c r="D18" s="66">
        <f>Inputs!$D$14</f>
        <v>625</v>
      </c>
      <c r="E18" s="61">
        <f>D18*(1+E17)</f>
        <v>662.5</v>
      </c>
      <c r="F18" s="61">
        <f>E18*(1+F17)</f>
        <v>698.9375</v>
      </c>
      <c r="G18" s="61">
        <f>F18*(1+G17)</f>
        <v>733.884375</v>
      </c>
      <c r="H18" s="61">
        <f>G18*(1+H17)</f>
        <v>766.909171875</v>
      </c>
      <c r="I18" s="61">
        <f>H18*(1+I17)</f>
        <v>797.58553875</v>
      </c>
      <c r="J18" s="61">
        <f>I18*(1+J17)</f>
        <v>829.4889603</v>
      </c>
      <c r="K18" s="61">
        <f>J18*(1+K17)</f>
        <v>858.5210739105</v>
      </c>
    </row>
    <row r="19" spans="2:11">
      <c r="B19" s="10" t="s">
        <v>67</v>
      </c>
      <c r="C19" s="3" t="s">
        <v>38</v>
      </c>
      <c r="D19" s="67">
        <f>D20/D18</f>
        <v>0.16</v>
      </c>
      <c r="E19" s="65">
        <f>Inputs!$E$73</f>
        <v>0.16</v>
      </c>
      <c r="F19" s="65">
        <f>Inputs!$F$73</f>
        <v>0.164</v>
      </c>
      <c r="G19" s="65">
        <f>Inputs!$G$73</f>
        <v>0.168</v>
      </c>
      <c r="H19" s="65">
        <f>Inputs!$H$73</f>
        <v>0.172</v>
      </c>
      <c r="I19" s="65">
        <f>Inputs!$I$73</f>
        <v>0.175</v>
      </c>
      <c r="J19" s="65">
        <f>Inputs!$J$73</f>
        <v>0.178</v>
      </c>
      <c r="K19" s="65">
        <f>Inputs!$K$73</f>
        <v>0.18</v>
      </c>
    </row>
    <row r="20" spans="2:11">
      <c r="B20" s="5" t="s">
        <v>117</v>
      </c>
      <c r="C20" s="3" t="s">
        <v>17</v>
      </c>
      <c r="D20" s="66">
        <f>Inputs!$D$15</f>
        <v>100</v>
      </c>
      <c r="E20" s="61">
        <f>E18*E19</f>
        <v>106</v>
      </c>
      <c r="F20" s="61">
        <f>F18*F19</f>
        <v>114.62575</v>
      </c>
      <c r="G20" s="61">
        <f>G18*G19</f>
        <v>123.292575</v>
      </c>
      <c r="H20" s="61">
        <f>H18*H19</f>
        <v>131.9083775625</v>
      </c>
      <c r="I20" s="61">
        <f>I18*I19</f>
        <v>139.57746928125</v>
      </c>
      <c r="J20" s="61">
        <f>J18*J19</f>
        <v>147.6490349334</v>
      </c>
      <c r="K20" s="61">
        <f>K18*K19</f>
        <v>154.53379330389</v>
      </c>
    </row>
    <row r="21" spans="2:11">
      <c r="B21" s="10" t="s">
        <v>118</v>
      </c>
      <c r="C21" s="3" t="s">
        <v>17</v>
      </c>
      <c r="E21" s="31">
        <f>$D$9*E18</f>
        <v>19.875</v>
      </c>
      <c r="F21" s="31">
        <f>$D$9*F18</f>
        <v>20.968125</v>
      </c>
      <c r="G21" s="31">
        <f>$D$9*G18</f>
        <v>22.01653125</v>
      </c>
      <c r="H21" s="31">
        <f>$D$9*H18</f>
        <v>23.00727515625</v>
      </c>
      <c r="I21" s="31">
        <f>$D$9*I18</f>
        <v>23.9275661625</v>
      </c>
      <c r="J21" s="31">
        <f>$D$9*J18</f>
        <v>24.884668809</v>
      </c>
      <c r="K21" s="31">
        <f>$D$9*K18</f>
        <v>25.755632217315</v>
      </c>
    </row>
    <row r="22" spans="2:11">
      <c r="B22" s="5" t="s">
        <v>119</v>
      </c>
      <c r="C22" s="3" t="s">
        <v>17</v>
      </c>
      <c r="E22" s="59">
        <f>E20-E21</f>
        <v>86.125</v>
      </c>
      <c r="F22" s="59">
        <f>F20-F21</f>
        <v>93.657625</v>
      </c>
      <c r="G22" s="59">
        <f>G20-G21</f>
        <v>101.27604375</v>
      </c>
      <c r="H22" s="59">
        <f>H20-H21</f>
        <v>108.90110240625</v>
      </c>
      <c r="I22" s="59">
        <f>I20-I21</f>
        <v>115.64990311875</v>
      </c>
      <c r="J22" s="59">
        <f>J20-J21</f>
        <v>122.7643661244</v>
      </c>
      <c r="K22" s="59">
        <f>K20-K21</f>
        <v>128.778161086575</v>
      </c>
    </row>
    <row r="23" spans="2:11">
      <c r="B23" s="10" t="s">
        <v>68</v>
      </c>
      <c r="C23" s="3" t="s">
        <v>17</v>
      </c>
      <c r="E23" s="31">
        <f>$D$12*E18</f>
        <v>23.1875</v>
      </c>
      <c r="F23" s="31">
        <f>$D$12*F18</f>
        <v>24.4628125</v>
      </c>
      <c r="G23" s="31">
        <f>$D$12*G18</f>
        <v>25.685953125</v>
      </c>
      <c r="H23" s="31">
        <f>$D$12*H18</f>
        <v>26.841821015625</v>
      </c>
      <c r="I23" s="31">
        <f>$D$12*I18</f>
        <v>27.91549385625</v>
      </c>
      <c r="J23" s="31">
        <f>$D$12*J18</f>
        <v>29.0321136105</v>
      </c>
      <c r="K23" s="31">
        <f>$D$12*K18</f>
        <v>30.0482375868675</v>
      </c>
    </row>
    <row r="24" spans="2:11">
      <c r="B24" s="10" t="s">
        <v>120</v>
      </c>
      <c r="C24" s="3" t="s">
        <v>17</v>
      </c>
      <c r="E24" s="31">
        <f>$D$10*(E18-D18)</f>
        <v>4.5</v>
      </c>
      <c r="F24" s="31">
        <f>$D$10*(F18-E18)</f>
        <v>4.3725</v>
      </c>
      <c r="G24" s="31">
        <f>$D$10*(G18-F18)</f>
        <v>4.193625</v>
      </c>
      <c r="H24" s="31">
        <f>$D$10*(H18-G18)</f>
        <v>3.962975625</v>
      </c>
      <c r="I24" s="31">
        <f>$D$10*(I18-H18)</f>
        <v>3.681164025</v>
      </c>
      <c r="J24" s="31">
        <f>$D$10*(J18-I18)</f>
        <v>3.82841058600001</v>
      </c>
      <c r="K24" s="31">
        <f>$D$10*(K18-J18)</f>
        <v>3.48385363325999</v>
      </c>
    </row>
    <row r="26" spans="2:11">
      <c r="B26" s="8" t="s">
        <v>121</v>
      </c>
      <c r="C26" s="8"/>
      <c r="D26" s="8"/>
      <c r="E26" s="8"/>
      <c r="F26" s="8"/>
      <c r="G26" s="8"/>
      <c r="H26" s="8"/>
      <c r="I26" s="8"/>
      <c r="J26" s="8"/>
      <c r="K26" s="8"/>
    </row>
    <row r="27" spans="2:11">
      <c r="B27" s="10" t="s">
        <v>119</v>
      </c>
      <c r="E27" s="31">
        <f>E22</f>
        <v>86.125</v>
      </c>
      <c r="F27" s="31">
        <f>F22</f>
        <v>93.657625</v>
      </c>
      <c r="G27" s="31">
        <f>G22</f>
        <v>101.27604375</v>
      </c>
      <c r="H27" s="31">
        <f>H22</f>
        <v>108.90110240625</v>
      </c>
      <c r="I27" s="31">
        <f>I22</f>
        <v>115.64990311875</v>
      </c>
      <c r="J27" s="31">
        <f>J22</f>
        <v>122.7643661244</v>
      </c>
      <c r="K27" s="31">
        <f>K22</f>
        <v>128.778161086575</v>
      </c>
    </row>
    <row r="28" spans="2:11">
      <c r="B28" s="10" t="s">
        <v>122</v>
      </c>
      <c r="E28" s="31">
        <f>IF(E4&lt;=$D$13,$D$14/$D$13,0)</f>
        <v>2.17857142857143</v>
      </c>
      <c r="F28" s="31">
        <f>IF(F4&lt;=$D$13,$D$14/$D$13,0)</f>
        <v>2.17857142857143</v>
      </c>
      <c r="G28" s="31">
        <f>IF(G4&lt;=$D$13,$D$14/$D$13,0)</f>
        <v>2.17857142857143</v>
      </c>
      <c r="H28" s="31">
        <f>IF(H4&lt;=$D$13,$D$14/$D$13,0)</f>
        <v>2.17857142857143</v>
      </c>
      <c r="I28" s="31">
        <f>IF(I4&lt;=$D$13,$D$14/$D$13,0)</f>
        <v>2.17857142857143</v>
      </c>
      <c r="J28" s="31">
        <f>IF(J4&lt;=$D$13,$D$14/$D$13,0)</f>
        <v>2.17857142857143</v>
      </c>
      <c r="K28" s="31">
        <f>IF(K4&lt;=$D$13,$D$14/$D$13,0)</f>
        <v>2.17857142857143</v>
      </c>
    </row>
    <row r="29" spans="2:11">
      <c r="B29" s="10" t="s">
        <v>123</v>
      </c>
      <c r="E29" s="24">
        <f>Debt!E58</f>
        <v>51.8</v>
      </c>
      <c r="F29" s="24">
        <f>Debt!F58</f>
        <v>50.34908203125</v>
      </c>
      <c r="G29" s="24">
        <f>Debt!G58</f>
        <v>48.4574344818115</v>
      </c>
      <c r="H29" s="24">
        <f>Debt!H58</f>
        <v>46.0936291998715</v>
      </c>
      <c r="I29" s="24">
        <f>Debt!I58</f>
        <v>43.2283013974067</v>
      </c>
      <c r="J29" s="24">
        <f>Debt!J58</f>
        <v>39.8738862744676</v>
      </c>
      <c r="K29" s="24">
        <f>Debt!K58</f>
        <v>36.0150396151877</v>
      </c>
    </row>
    <row r="30" spans="2:11">
      <c r="B30" s="10" t="s">
        <v>124</v>
      </c>
      <c r="E30" s="24">
        <f>Debt!E56</f>
        <v>0.4</v>
      </c>
      <c r="F30" s="24">
        <f>Debt!F56</f>
        <v>0.443879464285714</v>
      </c>
      <c r="G30" s="24">
        <f>Debt!G56</f>
        <v>0.521338325195313</v>
      </c>
      <c r="H30" s="24">
        <f>Debt!H56</f>
        <v>0.634771108581216</v>
      </c>
      <c r="I30" s="24">
        <f>Debt!I56</f>
        <v>0.786415131626154</v>
      </c>
      <c r="J30" s="24">
        <f>Debt!J56</f>
        <v>0.975322950516754</v>
      </c>
      <c r="K30" s="24">
        <f>Debt!K56</f>
        <v>1.20266364836665</v>
      </c>
    </row>
    <row r="31" spans="2:11">
      <c r="B31" s="5" t="s">
        <v>125</v>
      </c>
      <c r="E31" s="59">
        <f>E27-E28-E29+E30</f>
        <v>32.5464285714286</v>
      </c>
      <c r="F31" s="59">
        <f>F27-F28-F29+F30</f>
        <v>41.5738510044643</v>
      </c>
      <c r="G31" s="59">
        <f>G27-G28-G29+G30</f>
        <v>51.1613761648124</v>
      </c>
      <c r="H31" s="59">
        <f>H27-H28-H29+H30</f>
        <v>61.2636728863882</v>
      </c>
      <c r="I31" s="59">
        <f>I27-I28-I29+I30</f>
        <v>71.029445424398</v>
      </c>
      <c r="J31" s="59">
        <f>J27-J28-J29+J30</f>
        <v>81.6872313718777</v>
      </c>
      <c r="K31" s="59">
        <f>K27-K28-K29+K30</f>
        <v>91.7872136911825</v>
      </c>
    </row>
    <row r="32" spans="2:11">
      <c r="B32" s="10" t="s">
        <v>126</v>
      </c>
      <c r="E32" s="31">
        <f>MAX(0,E31)*$D$11</f>
        <v>8.13660714285714</v>
      </c>
      <c r="F32" s="31">
        <f>MAX(0,F31)*$D$11</f>
        <v>10.3934627511161</v>
      </c>
      <c r="G32" s="31">
        <f>MAX(0,G31)*$D$11</f>
        <v>12.7903440412031</v>
      </c>
      <c r="H32" s="31">
        <f>MAX(0,H31)*$D$11</f>
        <v>15.3159182215971</v>
      </c>
      <c r="I32" s="31">
        <f>MAX(0,I31)*$D$11</f>
        <v>17.7573613560995</v>
      </c>
      <c r="J32" s="31">
        <f>MAX(0,J31)*$D$11</f>
        <v>20.4218078429694</v>
      </c>
      <c r="K32" s="31">
        <f>MAX(0,K31)*$D$11</f>
        <v>22.9468034227956</v>
      </c>
    </row>
    <row r="33" spans="2:11">
      <c r="B33" s="5" t="s">
        <v>127</v>
      </c>
      <c r="E33" s="59">
        <f>E31-E32</f>
        <v>24.4098214285714</v>
      </c>
      <c r="F33" s="59">
        <f>F31-F32</f>
        <v>31.1803882533482</v>
      </c>
      <c r="G33" s="59">
        <f>G31-G32</f>
        <v>38.3710321236093</v>
      </c>
      <c r="H33" s="59">
        <f>H31-H32</f>
        <v>45.9477546647912</v>
      </c>
      <c r="I33" s="59">
        <f>I31-I32</f>
        <v>53.2720840682985</v>
      </c>
      <c r="J33" s="59">
        <f>J31-J32</f>
        <v>61.2654235289083</v>
      </c>
      <c r="K33" s="59">
        <f>K31-K32</f>
        <v>68.8404102683869</v>
      </c>
    </row>
    <row r="35" spans="2:11">
      <c r="B35" s="8" t="s">
        <v>128</v>
      </c>
      <c r="C35" s="8"/>
      <c r="D35" s="8"/>
      <c r="E35" s="8"/>
      <c r="F35" s="8"/>
      <c r="G35" s="8"/>
      <c r="H35" s="8"/>
      <c r="I35" s="8"/>
      <c r="J35" s="8"/>
      <c r="K35" s="8"/>
    </row>
    <row r="36" spans="2:11">
      <c r="B36" s="10" t="s">
        <v>117</v>
      </c>
      <c r="E36" s="31">
        <f>E20</f>
        <v>106</v>
      </c>
      <c r="F36" s="31">
        <f>F20</f>
        <v>114.62575</v>
      </c>
      <c r="G36" s="31">
        <f>G20</f>
        <v>123.292575</v>
      </c>
      <c r="H36" s="31">
        <f>H20</f>
        <v>131.9083775625</v>
      </c>
      <c r="I36" s="31">
        <f>I20</f>
        <v>139.57746928125</v>
      </c>
      <c r="J36" s="31">
        <f>J20</f>
        <v>147.6490349334</v>
      </c>
      <c r="K36" s="31">
        <f>K20</f>
        <v>154.53379330389</v>
      </c>
    </row>
    <row r="37" spans="2:11">
      <c r="B37" s="10" t="s">
        <v>126</v>
      </c>
      <c r="E37" s="31">
        <f>E32</f>
        <v>8.13660714285714</v>
      </c>
      <c r="F37" s="31">
        <f>F32</f>
        <v>10.3934627511161</v>
      </c>
      <c r="G37" s="31">
        <f>G32</f>
        <v>12.7903440412031</v>
      </c>
      <c r="H37" s="31">
        <f>H32</f>
        <v>15.3159182215971</v>
      </c>
      <c r="I37" s="31">
        <f>I32</f>
        <v>17.7573613560995</v>
      </c>
      <c r="J37" s="31">
        <f>J32</f>
        <v>20.4218078429694</v>
      </c>
      <c r="K37" s="31">
        <f>K32</f>
        <v>22.9468034227956</v>
      </c>
    </row>
    <row r="38" spans="2:11">
      <c r="B38" s="10" t="s">
        <v>129</v>
      </c>
      <c r="E38" s="31">
        <f>E23</f>
        <v>23.1875</v>
      </c>
      <c r="F38" s="31">
        <f>F23</f>
        <v>24.4628125</v>
      </c>
      <c r="G38" s="31">
        <f>G23</f>
        <v>25.685953125</v>
      </c>
      <c r="H38" s="31">
        <f>H23</f>
        <v>26.841821015625</v>
      </c>
      <c r="I38" s="31">
        <f>I23</f>
        <v>27.91549385625</v>
      </c>
      <c r="J38" s="31">
        <f>J23</f>
        <v>29.0321136105</v>
      </c>
      <c r="K38" s="31">
        <f>K23</f>
        <v>30.0482375868675</v>
      </c>
    </row>
    <row r="39" spans="2:11">
      <c r="B39" s="10" t="s">
        <v>130</v>
      </c>
      <c r="E39" s="31">
        <f>E24</f>
        <v>4.5</v>
      </c>
      <c r="F39" s="31">
        <f>F24</f>
        <v>4.3725</v>
      </c>
      <c r="G39" s="31">
        <f>G24</f>
        <v>4.193625</v>
      </c>
      <c r="H39" s="31">
        <f>H24</f>
        <v>3.962975625</v>
      </c>
      <c r="I39" s="31">
        <f>I24</f>
        <v>3.681164025</v>
      </c>
      <c r="J39" s="31">
        <f>J24</f>
        <v>3.82841058600001</v>
      </c>
      <c r="K39" s="31">
        <f>K24</f>
        <v>3.48385363325999</v>
      </c>
    </row>
    <row r="40" spans="2:11">
      <c r="B40" s="5" t="s">
        <v>131</v>
      </c>
      <c r="E40" s="59">
        <f>E36-E37-E38-E39</f>
        <v>70.1758928571429</v>
      </c>
      <c r="F40" s="59">
        <f>F36-F37-F38-F39</f>
        <v>75.3969747488839</v>
      </c>
      <c r="G40" s="59">
        <f>G36-G37-G38-G39</f>
        <v>80.6226528337969</v>
      </c>
      <c r="H40" s="59">
        <f>H36-H37-H38-H39</f>
        <v>85.7876627002779</v>
      </c>
      <c r="I40" s="59">
        <f>I36-I37-I38-I39</f>
        <v>90.2234500439005</v>
      </c>
      <c r="J40" s="59">
        <f>J36-J37-J38-J39</f>
        <v>94.3667028939306</v>
      </c>
      <c r="K40" s="59">
        <f>K36-K37-K38-K39</f>
        <v>98.0548986609669</v>
      </c>
    </row>
    <row r="41" spans="2:11">
      <c r="B41" s="10" t="s">
        <v>132</v>
      </c>
      <c r="E41" s="24">
        <f>Debt!E57</f>
        <v>51.4</v>
      </c>
      <c r="F41" s="24">
        <f>Debt!F57</f>
        <v>49.9052025669643</v>
      </c>
      <c r="G41" s="24">
        <f>Debt!G57</f>
        <v>47.9360961566162</v>
      </c>
      <c r="H41" s="24">
        <f>Debt!H57</f>
        <v>45.4588580912903</v>
      </c>
      <c r="I41" s="24">
        <f>Debt!I57</f>
        <v>42.4418862657806</v>
      </c>
      <c r="J41" s="24">
        <f>Debt!J57</f>
        <v>38.8985633239509</v>
      </c>
      <c r="K41" s="24">
        <f>Debt!K57</f>
        <v>34.812375966821</v>
      </c>
    </row>
    <row r="42" spans="2:11">
      <c r="B42" s="5" t="s">
        <v>133</v>
      </c>
      <c r="E42" s="59">
        <f>E40-E41</f>
        <v>18.7758928571429</v>
      </c>
      <c r="F42" s="59">
        <f>F40-F41</f>
        <v>25.4917721819197</v>
      </c>
      <c r="G42" s="59">
        <f>G40-G41</f>
        <v>32.6865566771807</v>
      </c>
      <c r="H42" s="59">
        <f>H40-H41</f>
        <v>40.3288046089876</v>
      </c>
      <c r="I42" s="59">
        <f>I40-I41</f>
        <v>47.7815637781199</v>
      </c>
      <c r="J42" s="59">
        <f>J40-J41</f>
        <v>55.4681395699797</v>
      </c>
      <c r="K42" s="59">
        <f>K40-K41</f>
        <v>63.2425226941458</v>
      </c>
    </row>
    <row r="43" spans="2:11">
      <c r="B43" s="10" t="s">
        <v>134</v>
      </c>
      <c r="E43" s="24">
        <f>Debt!E39</f>
        <v>10</v>
      </c>
      <c r="F43" s="24">
        <f>Debt!F39</f>
        <v>10</v>
      </c>
      <c r="G43" s="24">
        <f>Debt!G39</f>
        <v>10</v>
      </c>
      <c r="H43" s="24">
        <f>Debt!H39</f>
        <v>10</v>
      </c>
      <c r="I43" s="24">
        <f>Debt!I39</f>
        <v>10</v>
      </c>
      <c r="J43" s="24">
        <f>Debt!J39</f>
        <v>10</v>
      </c>
      <c r="K43" s="24">
        <f>Debt!K39</f>
        <v>10</v>
      </c>
    </row>
    <row r="44" spans="2:11">
      <c r="B44" s="5" t="s">
        <v>135</v>
      </c>
      <c r="E44" s="59">
        <f>E42-E43</f>
        <v>8.77589285714286</v>
      </c>
      <c r="F44" s="59">
        <f>F42-F43</f>
        <v>15.4917721819197</v>
      </c>
      <c r="G44" s="59">
        <f>G42-G43</f>
        <v>22.6865566771807</v>
      </c>
      <c r="H44" s="59">
        <f>H42-H43</f>
        <v>30.3288046089876</v>
      </c>
      <c r="I44" s="59">
        <f>I42-I43</f>
        <v>37.7815637781199</v>
      </c>
      <c r="J44" s="59">
        <f>J42-J43</f>
        <v>45.4681395699797</v>
      </c>
      <c r="K44" s="59">
        <f>K42-K43</f>
        <v>53.2425226941458</v>
      </c>
    </row>
    <row r="45" spans="2:11">
      <c r="B45" s="10" t="s">
        <v>136</v>
      </c>
      <c r="E45" s="67">
        <f>E40/E20</f>
        <v>0.662036725067385</v>
      </c>
      <c r="F45" s="67">
        <f>F40/F20</f>
        <v>0.657766468257647</v>
      </c>
      <c r="G45" s="67">
        <f>G40/G20</f>
        <v>0.653913285806521</v>
      </c>
      <c r="H45" s="67">
        <f>H40/H20</f>
        <v>0.65035795516195</v>
      </c>
      <c r="I45" s="67">
        <f>I40/I20</f>
        <v>0.646404111698711</v>
      </c>
      <c r="J45" s="67">
        <f>J40/J20</f>
        <v>0.639128477449897</v>
      </c>
      <c r="K45" s="67">
        <f>K40/K20</f>
        <v>0.634520751510593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75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137</v>
      </c>
    </row>
    <row r="2" spans="2:11">
      <c r="B2" s="3" t="s">
        <v>138</v>
      </c>
    </row>
    <row r="4" spans="2:11">
      <c r="B4" s="8" t="s">
        <v>49</v>
      </c>
      <c r="C4" s="62" t="s">
        <v>50</v>
      </c>
      <c r="D4" s="50">
        <f>COLUMN()-COLUMN($D$1)</f>
        <v>0</v>
      </c>
      <c r="E4" s="50">
        <f>COLUMN()-COLUMN($D$1)</f>
        <v>1</v>
      </c>
      <c r="F4" s="50">
        <f>COLUMN()-COLUMN($D$1)</f>
        <v>2</v>
      </c>
      <c r="G4" s="50">
        <f>COLUMN()-COLUMN($D$1)</f>
        <v>3</v>
      </c>
      <c r="H4" s="50">
        <f>COLUMN()-COLUMN($D$1)</f>
        <v>4</v>
      </c>
      <c r="I4" s="50">
        <f>COLUMN()-COLUMN($D$1)</f>
        <v>5</v>
      </c>
      <c r="J4" s="50">
        <f>COLUMN()-COLUMN($D$1)</f>
        <v>6</v>
      </c>
      <c r="K4" s="50">
        <f>COLUMN()-COLUMN($D$1)</f>
        <v>7</v>
      </c>
    </row>
    <row r="5" spans="2:11">
      <c r="B5" s="8" t="s">
        <v>107</v>
      </c>
      <c r="C5" s="62" t="s">
        <v>50</v>
      </c>
      <c r="D5" s="63">
        <f>$D$9+D4</f>
        <v>2026</v>
      </c>
      <c r="E5" s="64">
        <f>$D$9+E4</f>
        <v>2027</v>
      </c>
      <c r="F5" s="64">
        <f>$D$9+F4</f>
        <v>2028</v>
      </c>
      <c r="G5" s="64">
        <f>$D$9+G4</f>
        <v>2029</v>
      </c>
      <c r="H5" s="64">
        <f>$D$9+H4</f>
        <v>2030</v>
      </c>
      <c r="I5" s="64">
        <f>$D$9+I4</f>
        <v>2031</v>
      </c>
      <c r="J5" s="64">
        <f>$D$9+J4</f>
        <v>2032</v>
      </c>
      <c r="K5" s="64">
        <f>$D$9+K4</f>
        <v>2033</v>
      </c>
    </row>
    <row r="6" spans="2:11">
      <c r="B6" s="3" t="s">
        <v>139</v>
      </c>
      <c r="D6" s="68" t="s">
        <v>140</v>
      </c>
      <c r="E6" s="69" t="str">
        <f>"FY"&amp;E5&amp;"E"</f>
        <v>FY2027E</v>
      </c>
      <c r="F6" s="69" t="str">
        <f>"FY"&amp;F5&amp;"E"</f>
        <v>FY2028E</v>
      </c>
      <c r="G6" s="69" t="str">
        <f>"FY"&amp;G5&amp;"E"</f>
        <v>FY2029E</v>
      </c>
      <c r="H6" s="69" t="str">
        <f>"FY"&amp;H5&amp;"E"</f>
        <v>FY2030E</v>
      </c>
      <c r="I6" s="69" t="str">
        <f>"FY"&amp;I5&amp;"E"</f>
        <v>FY2031E</v>
      </c>
      <c r="J6" s="69" t="str">
        <f>"FY"&amp;J5&amp;"E"</f>
        <v>FY2032E</v>
      </c>
      <c r="K6" s="69" t="str">
        <f>"FY"&amp;K5&amp;"E"</f>
        <v>FY2033E</v>
      </c>
    </row>
    <row r="8" spans="2:11">
      <c r="B8" s="8" t="s">
        <v>108</v>
      </c>
      <c r="C8" s="8"/>
      <c r="D8" s="8"/>
      <c r="E8" s="8"/>
      <c r="F8" s="8"/>
      <c r="G8" s="8"/>
      <c r="H8" s="8"/>
      <c r="I8" s="8"/>
      <c r="J8" s="8"/>
      <c r="K8" s="8"/>
    </row>
    <row r="9" spans="2:11">
      <c r="B9" s="10" t="s">
        <v>109</v>
      </c>
      <c r="D9" s="38">
        <f>Inputs!$D$13</f>
        <v>2026</v>
      </c>
    </row>
    <row r="10" spans="2:11">
      <c r="B10" s="10" t="s">
        <v>32</v>
      </c>
      <c r="D10" s="24">
        <f>Inputs!$D$25</f>
        <v>60</v>
      </c>
    </row>
    <row r="11" spans="2:11">
      <c r="B11" s="10" t="s">
        <v>141</v>
      </c>
      <c r="D11" s="70">
        <f>Inputs!$D$29+Inputs!$D$30</f>
        <v>0.08</v>
      </c>
    </row>
    <row r="12" spans="2:11">
      <c r="B12" s="10" t="s">
        <v>142</v>
      </c>
      <c r="D12" s="36">
        <f>Inputs!$D$32</f>
        <v>0.005</v>
      </c>
    </row>
    <row r="13" spans="2:11">
      <c r="B13" s="10" t="s">
        <v>143</v>
      </c>
      <c r="D13" s="70">
        <f>Inputs!$D$29+Inputs!$D$31</f>
        <v>0.0875</v>
      </c>
    </row>
    <row r="14" spans="2:11">
      <c r="B14" s="10" t="s">
        <v>144</v>
      </c>
      <c r="D14" s="70">
        <f>IF(Inputs!$D$35=1,Inputs!$D$34,Inputs!$D$33)</f>
        <v>0.11</v>
      </c>
    </row>
    <row r="15" spans="2:11">
      <c r="B15" s="10" t="s">
        <v>145</v>
      </c>
      <c r="D15" s="38">
        <f>Inputs!$D$35</f>
        <v>0</v>
      </c>
    </row>
    <row r="16" spans="2:11">
      <c r="B16" s="10" t="s">
        <v>146</v>
      </c>
      <c r="D16" s="36">
        <f>Inputs!$D$36</f>
        <v>0.02</v>
      </c>
    </row>
    <row r="17" spans="2:11">
      <c r="B17" s="10" t="s">
        <v>147</v>
      </c>
      <c r="D17" s="26">
        <f>Inputs!$D$37</f>
        <v>0.75</v>
      </c>
    </row>
    <row r="18" spans="2:11">
      <c r="B18" s="10" t="s">
        <v>148</v>
      </c>
      <c r="D18" s="24">
        <f>Inputs!$D$20</f>
        <v>20</v>
      </c>
    </row>
    <row r="19" spans="2:11">
      <c r="B19" s="10" t="s">
        <v>149</v>
      </c>
      <c r="D19" s="24">
        <f>Transaction!$D$19</f>
        <v>400</v>
      </c>
    </row>
    <row r="21" spans="2:11">
      <c r="B21" s="8" t="s">
        <v>150</v>
      </c>
      <c r="C21" s="8"/>
      <c r="D21" s="8"/>
      <c r="E21" s="8"/>
      <c r="F21" s="8"/>
      <c r="G21" s="8"/>
      <c r="H21" s="8"/>
      <c r="I21" s="8"/>
      <c r="J21" s="8"/>
      <c r="K21" s="8"/>
    </row>
    <row r="22" spans="2:11">
      <c r="B22" s="10" t="s">
        <v>151</v>
      </c>
      <c r="E22" s="31">
        <f>D28</f>
        <v>20</v>
      </c>
      <c r="F22" s="31">
        <f>E28</f>
        <v>22.1939732142857</v>
      </c>
      <c r="G22" s="31">
        <f>F28</f>
        <v>26.0669162597656</v>
      </c>
      <c r="H22" s="31">
        <f>G28</f>
        <v>31.7385554290608</v>
      </c>
      <c r="I22" s="31">
        <f>H28</f>
        <v>39.3207565813077</v>
      </c>
      <c r="J22" s="31">
        <f>I28</f>
        <v>48.7661475258377</v>
      </c>
      <c r="K22" s="31">
        <f>J28</f>
        <v>60.1331824183326</v>
      </c>
    </row>
    <row r="23" spans="2:11">
      <c r="B23" s="10" t="s">
        <v>135</v>
      </c>
      <c r="E23" s="24">
        <f>Operating!E44</f>
        <v>8.77589285714286</v>
      </c>
      <c r="F23" s="24">
        <f>Operating!F44</f>
        <v>15.4917721819197</v>
      </c>
      <c r="G23" s="24">
        <f>Operating!G44</f>
        <v>22.6865566771807</v>
      </c>
      <c r="H23" s="24">
        <f>Operating!H44</f>
        <v>30.3288046089876</v>
      </c>
      <c r="I23" s="24">
        <f>Operating!I44</f>
        <v>37.7815637781199</v>
      </c>
      <c r="J23" s="24">
        <f>Operating!J44</f>
        <v>45.4681395699797</v>
      </c>
      <c r="K23" s="24">
        <f>Operating!K44</f>
        <v>53.2425226941458</v>
      </c>
    </row>
    <row r="24" spans="2:11">
      <c r="B24" s="10" t="s">
        <v>152</v>
      </c>
      <c r="E24" s="71">
        <f>E22+E23</f>
        <v>28.7758928571429</v>
      </c>
      <c r="F24" s="71">
        <f>F22+F23</f>
        <v>37.6857453962054</v>
      </c>
      <c r="G24" s="71">
        <f>G22+G23</f>
        <v>48.7534729369463</v>
      </c>
      <c r="H24" s="71">
        <f>H22+H23</f>
        <v>62.0673600380484</v>
      </c>
      <c r="I24" s="71">
        <f>I22+I23</f>
        <v>77.1023203594276</v>
      </c>
      <c r="J24" s="71">
        <f>J22+J23</f>
        <v>94.2342870958174</v>
      </c>
      <c r="K24" s="71">
        <f>K22+K23</f>
        <v>113.375705112478</v>
      </c>
    </row>
    <row r="25" spans="2:11">
      <c r="B25" s="10" t="s">
        <v>153</v>
      </c>
      <c r="E25" s="31">
        <f>E24-$D$18</f>
        <v>8.77589285714286</v>
      </c>
      <c r="F25" s="31">
        <f>F24-$D$18</f>
        <v>17.6857453962054</v>
      </c>
      <c r="G25" s="31">
        <f>G24-$D$18</f>
        <v>28.7534729369463</v>
      </c>
      <c r="H25" s="31">
        <f>H24-$D$18</f>
        <v>42.0673600380484</v>
      </c>
      <c r="I25" s="31">
        <f>I24-$D$18</f>
        <v>57.1023203594276</v>
      </c>
      <c r="J25" s="31">
        <f>J24-$D$18</f>
        <v>74.2342870958174</v>
      </c>
      <c r="K25" s="31">
        <f>K24-$D$18</f>
        <v>93.3757051124784</v>
      </c>
    </row>
    <row r="26" spans="2:11">
      <c r="B26" s="10" t="s">
        <v>154</v>
      </c>
      <c r="E26" s="31">
        <f>E25+E32-E33</f>
        <v>8.77589285714286</v>
      </c>
      <c r="F26" s="31">
        <f>F25+F32-F33</f>
        <v>17.6857453962054</v>
      </c>
      <c r="G26" s="31">
        <f>G25+G32-G33</f>
        <v>28.7534729369463</v>
      </c>
      <c r="H26" s="31">
        <f>H25+H32-H33</f>
        <v>42.0673600380484</v>
      </c>
      <c r="I26" s="31">
        <f>I25+I32-I33</f>
        <v>57.1023203594276</v>
      </c>
      <c r="J26" s="31">
        <f>J25+J32-J33</f>
        <v>74.2342870958174</v>
      </c>
      <c r="K26" s="31">
        <f>K25+K32-K33</f>
        <v>93.3757051124784</v>
      </c>
    </row>
    <row r="27" spans="2:11">
      <c r="B27" s="10" t="s">
        <v>155</v>
      </c>
      <c r="E27" s="31">
        <f>MAX(0,E23-E33)</f>
        <v>8.77589285714286</v>
      </c>
      <c r="F27" s="31">
        <f>MAX(0,F23-F33)</f>
        <v>15.4917721819197</v>
      </c>
      <c r="G27" s="31">
        <f>MAX(0,G23-G33)</f>
        <v>22.6865566771807</v>
      </c>
      <c r="H27" s="31">
        <f>MAX(0,H23-H33)</f>
        <v>30.3288046089876</v>
      </c>
      <c r="I27" s="31">
        <f>MAX(0,I23-I33)</f>
        <v>37.7815637781199</v>
      </c>
      <c r="J27" s="31">
        <f>MAX(0,J23-J33)</f>
        <v>45.4681395699797</v>
      </c>
      <c r="K27" s="31">
        <f>MAX(0,K23-K33)</f>
        <v>53.2425226941458</v>
      </c>
    </row>
    <row r="28" spans="2:11">
      <c r="B28" s="5" t="s">
        <v>156</v>
      </c>
      <c r="D28" s="29">
        <f>Transaction!$D$30</f>
        <v>20</v>
      </c>
      <c r="E28" s="59">
        <f>E24+E32-E33-E40</f>
        <v>22.1939732142857</v>
      </c>
      <c r="F28" s="59">
        <f>F24+F32-F33-F40</f>
        <v>26.0669162597656</v>
      </c>
      <c r="G28" s="59">
        <f>G24+G32-G33-G40</f>
        <v>31.7385554290608</v>
      </c>
      <c r="H28" s="59">
        <f>H24+H32-H33-H40</f>
        <v>39.3207565813077</v>
      </c>
      <c r="I28" s="59">
        <f>I24+I32-I33-I40</f>
        <v>48.7661475258377</v>
      </c>
      <c r="J28" s="59">
        <f>J24+J32-J33-J40</f>
        <v>60.1331824183326</v>
      </c>
      <c r="K28" s="59">
        <f>K24+K32-K33-K40</f>
        <v>73.4438130918691</v>
      </c>
    </row>
    <row r="30" spans="2:11">
      <c r="B30" s="8" t="s">
        <v>95</v>
      </c>
      <c r="C30" s="8"/>
      <c r="D30" s="8"/>
      <c r="E30" s="8"/>
      <c r="F30" s="8"/>
      <c r="G30" s="8"/>
      <c r="H30" s="8"/>
      <c r="I30" s="8"/>
      <c r="J30" s="8"/>
      <c r="K30" s="8"/>
    </row>
    <row r="31" spans="2:11">
      <c r="B31" s="10" t="s">
        <v>157</v>
      </c>
      <c r="E31" s="31">
        <f>D34</f>
        <v>0</v>
      </c>
      <c r="F31" s="31">
        <f>E34</f>
        <v>0</v>
      </c>
      <c r="G31" s="31">
        <f>F34</f>
        <v>0</v>
      </c>
      <c r="H31" s="31">
        <f>G34</f>
        <v>0</v>
      </c>
      <c r="I31" s="31">
        <f>H34</f>
        <v>0</v>
      </c>
      <c r="J31" s="31">
        <f>I34</f>
        <v>0</v>
      </c>
      <c r="K31" s="31">
        <f>J34</f>
        <v>0</v>
      </c>
    </row>
    <row r="32" spans="2:11">
      <c r="B32" s="10" t="s">
        <v>158</v>
      </c>
      <c r="E32" s="31">
        <f>MIN(MAX(-E25,0),$D$10-E31)</f>
        <v>0</v>
      </c>
      <c r="F32" s="31">
        <f>MIN(MAX(-F25,0),$D$10-F31)</f>
        <v>0</v>
      </c>
      <c r="G32" s="31">
        <f>MIN(MAX(-G25,0),$D$10-G31)</f>
        <v>0</v>
      </c>
      <c r="H32" s="31">
        <f>MIN(MAX(-H25,0),$D$10-H31)</f>
        <v>0</v>
      </c>
      <c r="I32" s="31">
        <f>MIN(MAX(-I25,0),$D$10-I31)</f>
        <v>0</v>
      </c>
      <c r="J32" s="31">
        <f>MIN(MAX(-J25,0),$D$10-J31)</f>
        <v>0</v>
      </c>
      <c r="K32" s="31">
        <f>MIN(MAX(-K25,0),$D$10-K31)</f>
        <v>0</v>
      </c>
    </row>
    <row r="33" spans="2:11">
      <c r="B33" s="10" t="s">
        <v>159</v>
      </c>
      <c r="E33" s="31">
        <f>MIN(E31,MAX(E25,0))</f>
        <v>0</v>
      </c>
      <c r="F33" s="31">
        <f>MIN(F31,MAX(F25,0))</f>
        <v>0</v>
      </c>
      <c r="G33" s="31">
        <f>MIN(G31,MAX(G25,0))</f>
        <v>0</v>
      </c>
      <c r="H33" s="31">
        <f>MIN(H31,MAX(H25,0))</f>
        <v>0</v>
      </c>
      <c r="I33" s="31">
        <f>MIN(I31,MAX(I25,0))</f>
        <v>0</v>
      </c>
      <c r="J33" s="31">
        <f>MIN(J31,MAX(J25,0))</f>
        <v>0</v>
      </c>
      <c r="K33" s="31">
        <f>MIN(K31,MAX(K25,0))</f>
        <v>0</v>
      </c>
    </row>
    <row r="34" spans="2:11">
      <c r="B34" s="5" t="s">
        <v>160</v>
      </c>
      <c r="D34" s="29">
        <f>Transaction!$D$18</f>
        <v>0</v>
      </c>
      <c r="E34" s="59">
        <f>E31+E32-E33</f>
        <v>0</v>
      </c>
      <c r="F34" s="59">
        <f>F31+F32-F33</f>
        <v>0</v>
      </c>
      <c r="G34" s="59">
        <f>G31+G32-G33</f>
        <v>0</v>
      </c>
      <c r="H34" s="59">
        <f>H31+H32-H33</f>
        <v>0</v>
      </c>
      <c r="I34" s="59">
        <f>I31+I32-I33</f>
        <v>0</v>
      </c>
      <c r="J34" s="59">
        <f>J31+J32-J33</f>
        <v>0</v>
      </c>
      <c r="K34" s="59">
        <f>K31+K32-K33</f>
        <v>0</v>
      </c>
    </row>
    <row r="36" spans="2:11">
      <c r="B36" s="8" t="s">
        <v>34</v>
      </c>
      <c r="C36" s="8"/>
      <c r="D36" s="8"/>
      <c r="E36" s="8"/>
      <c r="F36" s="8"/>
      <c r="G36" s="8"/>
      <c r="H36" s="8"/>
      <c r="I36" s="8"/>
      <c r="J36" s="8"/>
      <c r="K36" s="8"/>
    </row>
    <row r="37" spans="2:11">
      <c r="B37" s="10" t="s">
        <v>161</v>
      </c>
      <c r="E37" s="26">
        <f>Inputs!E39</f>
        <v>0.025</v>
      </c>
      <c r="F37" s="26">
        <f>Inputs!F39</f>
        <v>0.025</v>
      </c>
      <c r="G37" s="26">
        <f>Inputs!G39</f>
        <v>0.025</v>
      </c>
      <c r="H37" s="26">
        <f>Inputs!H39</f>
        <v>0.025</v>
      </c>
      <c r="I37" s="26">
        <f>Inputs!I39</f>
        <v>0.025</v>
      </c>
      <c r="J37" s="26">
        <f>Inputs!J39</f>
        <v>0.025</v>
      </c>
      <c r="K37" s="26">
        <f>Inputs!K39</f>
        <v>0.025</v>
      </c>
    </row>
    <row r="38" spans="2:11">
      <c r="B38" s="10" t="s">
        <v>157</v>
      </c>
      <c r="E38" s="31">
        <f>D41</f>
        <v>400</v>
      </c>
      <c r="F38" s="31">
        <f>E41</f>
        <v>383.418080357143</v>
      </c>
      <c r="G38" s="31">
        <f>F41</f>
        <v>361.799251220703</v>
      </c>
      <c r="H38" s="31">
        <f>G41</f>
        <v>334.784333712818</v>
      </c>
      <c r="I38" s="31">
        <f>H41</f>
        <v>302.037730256077</v>
      </c>
      <c r="J38" s="31">
        <f>I41</f>
        <v>263.701557422487</v>
      </c>
      <c r="K38" s="31">
        <f>J41</f>
        <v>219.600452745002</v>
      </c>
    </row>
    <row r="39" spans="2:11">
      <c r="B39" s="10" t="s">
        <v>162</v>
      </c>
      <c r="E39" s="31">
        <f>MIN(E38,E37*$D$19)</f>
        <v>10</v>
      </c>
      <c r="F39" s="31">
        <f>MIN(F38,F37*$D$19)</f>
        <v>10</v>
      </c>
      <c r="G39" s="31">
        <f>MIN(G38,G37*$D$19)</f>
        <v>10</v>
      </c>
      <c r="H39" s="31">
        <f>MIN(H38,H37*$D$19)</f>
        <v>10</v>
      </c>
      <c r="I39" s="31">
        <f>MIN(I38,I37*$D$19)</f>
        <v>10</v>
      </c>
      <c r="J39" s="31">
        <f>MIN(J38,J37*$D$19)</f>
        <v>10</v>
      </c>
      <c r="K39" s="31">
        <f>MIN(K38,K37*$D$19)</f>
        <v>10</v>
      </c>
    </row>
    <row r="40" spans="2:11">
      <c r="B40" s="10" t="s">
        <v>47</v>
      </c>
      <c r="E40" s="31">
        <f>MAX(0,MIN(E38-E39,$D$17*E27,E26))</f>
        <v>6.58191964285714</v>
      </c>
      <c r="F40" s="31">
        <f>MAX(0,MIN(F38-F39,$D$17*F27,F26))</f>
        <v>11.6188291364397</v>
      </c>
      <c r="G40" s="31">
        <f>MAX(0,MIN(G38-G39,$D$17*G27,G26))</f>
        <v>17.0149175078855</v>
      </c>
      <c r="H40" s="31">
        <f>MAX(0,MIN(H38-H39,$D$17*H27,H26))</f>
        <v>22.7466034567407</v>
      </c>
      <c r="I40" s="31">
        <f>MAX(0,MIN(I38-I39,$D$17*I27,I26))</f>
        <v>28.3361728335899</v>
      </c>
      <c r="J40" s="31">
        <f>MAX(0,MIN(J38-J39,$D$17*J27,J26))</f>
        <v>34.1011046774848</v>
      </c>
      <c r="K40" s="31">
        <f>MAX(0,MIN(K38-K39,$D$17*K27,K26))</f>
        <v>39.9318920206094</v>
      </c>
    </row>
    <row r="41" spans="2:11">
      <c r="B41" s="5" t="s">
        <v>160</v>
      </c>
      <c r="D41" s="29">
        <f>Transaction!$D$19</f>
        <v>400</v>
      </c>
      <c r="E41" s="59">
        <f>E38-E39-E40</f>
        <v>383.418080357143</v>
      </c>
      <c r="F41" s="59">
        <f>F38-F39-F40</f>
        <v>361.799251220703</v>
      </c>
      <c r="G41" s="59">
        <f>G38-G39-G40</f>
        <v>334.784333712818</v>
      </c>
      <c r="H41" s="59">
        <f>H38-H39-H40</f>
        <v>302.037730256077</v>
      </c>
      <c r="I41" s="59">
        <f>I38-I39-I40</f>
        <v>263.701557422487</v>
      </c>
      <c r="J41" s="59">
        <f>J38-J39-J40</f>
        <v>219.600452745002</v>
      </c>
      <c r="K41" s="59">
        <f>K38-K39-K40</f>
        <v>169.668560724393</v>
      </c>
    </row>
    <row r="43" spans="2:11">
      <c r="B43" s="8" t="s">
        <v>36</v>
      </c>
      <c r="C43" s="8"/>
      <c r="D43" s="8"/>
      <c r="E43" s="8"/>
      <c r="F43" s="8"/>
      <c r="G43" s="8"/>
      <c r="H43" s="8"/>
      <c r="I43" s="8"/>
      <c r="J43" s="8"/>
      <c r="K43" s="8"/>
    </row>
    <row r="44" spans="2:11">
      <c r="B44" s="10" t="s">
        <v>157</v>
      </c>
      <c r="E44" s="31">
        <f>D46</f>
        <v>150</v>
      </c>
      <c r="F44" s="31">
        <f>E46</f>
        <v>150</v>
      </c>
      <c r="G44" s="31">
        <f>F46</f>
        <v>150</v>
      </c>
      <c r="H44" s="31">
        <f>G46</f>
        <v>150</v>
      </c>
      <c r="I44" s="31">
        <f>H46</f>
        <v>150</v>
      </c>
      <c r="J44" s="31">
        <f>I46</f>
        <v>150</v>
      </c>
      <c r="K44" s="31">
        <f>J46</f>
        <v>150</v>
      </c>
    </row>
    <row r="45" spans="2:11">
      <c r="B45" s="10" t="s">
        <v>163</v>
      </c>
      <c r="E45" s="31">
        <f>E54</f>
        <v>0</v>
      </c>
      <c r="F45" s="31">
        <f>F54</f>
        <v>0</v>
      </c>
      <c r="G45" s="31">
        <f>G54</f>
        <v>0</v>
      </c>
      <c r="H45" s="31">
        <f>H54</f>
        <v>0</v>
      </c>
      <c r="I45" s="31">
        <f>I54</f>
        <v>0</v>
      </c>
      <c r="J45" s="31">
        <f>J54</f>
        <v>0</v>
      </c>
      <c r="K45" s="31">
        <f>K54</f>
        <v>0</v>
      </c>
    </row>
    <row r="46" spans="2:11">
      <c r="B46" s="5" t="s">
        <v>160</v>
      </c>
      <c r="D46" s="29">
        <f>Transaction!$D$20</f>
        <v>150</v>
      </c>
      <c r="E46" s="59">
        <f>E44+E45</f>
        <v>150</v>
      </c>
      <c r="F46" s="59">
        <f>F44+F45</f>
        <v>150</v>
      </c>
      <c r="G46" s="59">
        <f>G44+G45</f>
        <v>150</v>
      </c>
      <c r="H46" s="59">
        <f>H44+H45</f>
        <v>150</v>
      </c>
      <c r="I46" s="59">
        <f>I44+I45</f>
        <v>150</v>
      </c>
      <c r="J46" s="59">
        <f>J44+J45</f>
        <v>150</v>
      </c>
      <c r="K46" s="59">
        <f>K44+K45</f>
        <v>150</v>
      </c>
    </row>
    <row r="48" spans="2:11">
      <c r="B48" s="8" t="s">
        <v>164</v>
      </c>
      <c r="C48" s="8"/>
      <c r="D48" s="8"/>
      <c r="E48" s="8"/>
      <c r="F48" s="8"/>
      <c r="G48" s="8"/>
      <c r="H48" s="8"/>
      <c r="I48" s="8"/>
      <c r="J48" s="8"/>
      <c r="K48" s="8"/>
    </row>
    <row r="49" spans="2:11">
      <c r="B49" s="10" t="s">
        <v>165</v>
      </c>
      <c r="E49" s="31">
        <f>E31*$D$11</f>
        <v>0</v>
      </c>
      <c r="F49" s="31">
        <f>F31*$D$11</f>
        <v>0</v>
      </c>
      <c r="G49" s="31">
        <f>G31*$D$11</f>
        <v>0</v>
      </c>
      <c r="H49" s="31">
        <f>H31*$D$11</f>
        <v>0</v>
      </c>
      <c r="I49" s="31">
        <f>I31*$D$11</f>
        <v>0</v>
      </c>
      <c r="J49" s="31">
        <f>J31*$D$11</f>
        <v>0</v>
      </c>
      <c r="K49" s="31">
        <f>K31*$D$11</f>
        <v>0</v>
      </c>
    </row>
    <row r="50" spans="2:11">
      <c r="B50" s="10" t="s">
        <v>142</v>
      </c>
      <c r="E50" s="31">
        <f>($D$10-E31)*$D$12</f>
        <v>0.3</v>
      </c>
      <c r="F50" s="31">
        <f>($D$10-F31)*$D$12</f>
        <v>0.3</v>
      </c>
      <c r="G50" s="31">
        <f>($D$10-G31)*$D$12</f>
        <v>0.3</v>
      </c>
      <c r="H50" s="31">
        <f>($D$10-H31)*$D$12</f>
        <v>0.3</v>
      </c>
      <c r="I50" s="31">
        <f>($D$10-I31)*$D$12</f>
        <v>0.3</v>
      </c>
      <c r="J50" s="31">
        <f>($D$10-J31)*$D$12</f>
        <v>0.3</v>
      </c>
      <c r="K50" s="31">
        <f>($D$10-K31)*$D$12</f>
        <v>0.3</v>
      </c>
    </row>
    <row r="51" spans="2:11">
      <c r="B51" s="10" t="s">
        <v>166</v>
      </c>
      <c r="E51" s="31">
        <f>E38*$D$13</f>
        <v>35</v>
      </c>
      <c r="F51" s="31">
        <f>F38*$D$13</f>
        <v>33.54908203125</v>
      </c>
      <c r="G51" s="31">
        <f>G38*$D$13</f>
        <v>31.6574344818115</v>
      </c>
      <c r="H51" s="31">
        <f>H38*$D$13</f>
        <v>29.2936291998715</v>
      </c>
      <c r="I51" s="31">
        <f>I38*$D$13</f>
        <v>26.4283013974067</v>
      </c>
      <c r="J51" s="31">
        <f>J38*$D$13</f>
        <v>23.0738862744676</v>
      </c>
      <c r="K51" s="31">
        <f>K38*$D$13</f>
        <v>19.2150396151877</v>
      </c>
    </row>
    <row r="52" spans="2:11">
      <c r="B52" s="10" t="s">
        <v>167</v>
      </c>
      <c r="E52" s="31">
        <f>E44*$D$14</f>
        <v>16.5</v>
      </c>
      <c r="F52" s="31">
        <f>F44*$D$14</f>
        <v>16.5</v>
      </c>
      <c r="G52" s="31">
        <f>G44*$D$14</f>
        <v>16.5</v>
      </c>
      <c r="H52" s="31">
        <f>H44*$D$14</f>
        <v>16.5</v>
      </c>
      <c r="I52" s="31">
        <f>I44*$D$14</f>
        <v>16.5</v>
      </c>
      <c r="J52" s="31">
        <f>J44*$D$14</f>
        <v>16.5</v>
      </c>
      <c r="K52" s="31">
        <f>K44*$D$14</f>
        <v>16.5</v>
      </c>
    </row>
    <row r="53" spans="2:11">
      <c r="B53" s="10" t="s">
        <v>168</v>
      </c>
      <c r="E53" s="31">
        <f>IF($D$15=1,0,E52)</f>
        <v>16.5</v>
      </c>
      <c r="F53" s="31">
        <f>IF($D$15=1,0,F52)</f>
        <v>16.5</v>
      </c>
      <c r="G53" s="31">
        <f>IF($D$15=1,0,G52)</f>
        <v>16.5</v>
      </c>
      <c r="H53" s="31">
        <f>IF($D$15=1,0,H52)</f>
        <v>16.5</v>
      </c>
      <c r="I53" s="31">
        <f>IF($D$15=1,0,I52)</f>
        <v>16.5</v>
      </c>
      <c r="J53" s="31">
        <f>IF($D$15=1,0,J52)</f>
        <v>16.5</v>
      </c>
      <c r="K53" s="31">
        <f>IF($D$15=1,0,K52)</f>
        <v>16.5</v>
      </c>
    </row>
    <row r="54" spans="2:11">
      <c r="B54" s="10" t="s">
        <v>169</v>
      </c>
      <c r="E54" s="31">
        <f>IF($D$15=1,E52,0)</f>
        <v>0</v>
      </c>
      <c r="F54" s="31">
        <f>IF($D$15=1,F52,0)</f>
        <v>0</v>
      </c>
      <c r="G54" s="31">
        <f>IF($D$15=1,G52,0)</f>
        <v>0</v>
      </c>
      <c r="H54" s="31">
        <f>IF($D$15=1,H52,0)</f>
        <v>0</v>
      </c>
      <c r="I54" s="31">
        <f>IF($D$15=1,I52,0)</f>
        <v>0</v>
      </c>
      <c r="J54" s="31">
        <f>IF($D$15=1,J52,0)</f>
        <v>0</v>
      </c>
      <c r="K54" s="31">
        <f>IF($D$15=1,K52,0)</f>
        <v>0</v>
      </c>
    </row>
    <row r="55" spans="2:11">
      <c r="B55" s="5" t="s">
        <v>170</v>
      </c>
      <c r="E55" s="59">
        <f>E49+E50+E51+E53</f>
        <v>51.8</v>
      </c>
      <c r="F55" s="59">
        <f>F49+F50+F51+F53</f>
        <v>50.34908203125</v>
      </c>
      <c r="G55" s="59">
        <f>G49+G50+G51+G53</f>
        <v>48.4574344818115</v>
      </c>
      <c r="H55" s="59">
        <f>H49+H50+H51+H53</f>
        <v>46.0936291998715</v>
      </c>
      <c r="I55" s="59">
        <f>I49+I50+I51+I53</f>
        <v>43.2283013974067</v>
      </c>
      <c r="J55" s="59">
        <f>J49+J50+J51+J53</f>
        <v>39.8738862744676</v>
      </c>
      <c r="K55" s="59">
        <f>K49+K50+K51+K53</f>
        <v>36.0150396151877</v>
      </c>
    </row>
    <row r="56" spans="2:11">
      <c r="B56" s="10" t="s">
        <v>46</v>
      </c>
      <c r="E56" s="31">
        <f>E22*$D$16</f>
        <v>0.4</v>
      </c>
      <c r="F56" s="31">
        <f>F22*$D$16</f>
        <v>0.443879464285714</v>
      </c>
      <c r="G56" s="31">
        <f>G22*$D$16</f>
        <v>0.521338325195313</v>
      </c>
      <c r="H56" s="31">
        <f>H22*$D$16</f>
        <v>0.634771108581216</v>
      </c>
      <c r="I56" s="31">
        <f>I22*$D$16</f>
        <v>0.786415131626154</v>
      </c>
      <c r="J56" s="31">
        <f>J22*$D$16</f>
        <v>0.975322950516754</v>
      </c>
      <c r="K56" s="31">
        <f>K22*$D$16</f>
        <v>1.20266364836665</v>
      </c>
    </row>
    <row r="57" spans="2:11">
      <c r="B57" s="5" t="s">
        <v>171</v>
      </c>
      <c r="E57" s="61">
        <f>E55-E56</f>
        <v>51.4</v>
      </c>
      <c r="F57" s="61">
        <f>F55-F56</f>
        <v>49.9052025669643</v>
      </c>
      <c r="G57" s="61">
        <f>G55-G56</f>
        <v>47.9360961566162</v>
      </c>
      <c r="H57" s="61">
        <f>H55-H56</f>
        <v>45.4588580912903</v>
      </c>
      <c r="I57" s="61">
        <f>I55-I56</f>
        <v>42.4418862657806</v>
      </c>
      <c r="J57" s="61">
        <f>J55-J56</f>
        <v>38.8985633239509</v>
      </c>
      <c r="K57" s="61">
        <f>K55-K56</f>
        <v>34.812375966821</v>
      </c>
    </row>
    <row r="58" spans="2:11">
      <c r="B58" s="10" t="s">
        <v>172</v>
      </c>
      <c r="E58" s="31">
        <f>E49+E50+E51+E52</f>
        <v>51.8</v>
      </c>
      <c r="F58" s="31">
        <f>F49+F50+F51+F52</f>
        <v>50.34908203125</v>
      </c>
      <c r="G58" s="31">
        <f>G49+G50+G51+G52</f>
        <v>48.4574344818115</v>
      </c>
      <c r="H58" s="31">
        <f>H49+H50+H51+H52</f>
        <v>46.0936291998715</v>
      </c>
      <c r="I58" s="31">
        <f>I49+I50+I51+I52</f>
        <v>43.2283013974067</v>
      </c>
      <c r="J58" s="31">
        <f>J49+J50+J51+J52</f>
        <v>39.8738862744676</v>
      </c>
      <c r="K58" s="31">
        <f>K49+K50+K51+K52</f>
        <v>36.0150396151877</v>
      </c>
    </row>
    <row r="60" spans="2:11">
      <c r="B60" s="8" t="s">
        <v>173</v>
      </c>
      <c r="C60" s="8"/>
      <c r="D60" s="8"/>
      <c r="E60" s="8"/>
      <c r="F60" s="8"/>
      <c r="G60" s="8"/>
      <c r="H60" s="8"/>
      <c r="I60" s="8"/>
      <c r="J60" s="8"/>
      <c r="K60" s="8"/>
    </row>
    <row r="61" spans="2:11">
      <c r="B61" s="5" t="s">
        <v>97</v>
      </c>
      <c r="D61" s="61">
        <f>D34+D41+D46</f>
        <v>550</v>
      </c>
      <c r="E61" s="61">
        <f>E34+E41+E46</f>
        <v>533.418080357143</v>
      </c>
      <c r="F61" s="61">
        <f>F34+F41+F46</f>
        <v>511.799251220703</v>
      </c>
      <c r="G61" s="61">
        <f>G34+G41+G46</f>
        <v>484.784333712818</v>
      </c>
      <c r="H61" s="61">
        <f>H34+H41+H46</f>
        <v>452.037730256077</v>
      </c>
      <c r="I61" s="61">
        <f>I34+I41+I46</f>
        <v>413.701557422487</v>
      </c>
      <c r="J61" s="61">
        <f>J34+J41+J46</f>
        <v>369.600452745002</v>
      </c>
      <c r="K61" s="61">
        <f>K34+K41+K46</f>
        <v>319.668560724393</v>
      </c>
    </row>
    <row r="62" spans="2:11">
      <c r="B62" s="10" t="s">
        <v>174</v>
      </c>
      <c r="D62" s="31">
        <f>D34+D41</f>
        <v>400</v>
      </c>
      <c r="E62" s="31">
        <f>E34+E41</f>
        <v>383.418080357143</v>
      </c>
      <c r="F62" s="31">
        <f>F34+F41</f>
        <v>361.799251220703</v>
      </c>
      <c r="G62" s="31">
        <f>G34+G41</f>
        <v>334.784333712818</v>
      </c>
      <c r="H62" s="31">
        <f>H34+H41</f>
        <v>302.037730256077</v>
      </c>
      <c r="I62" s="31">
        <f>I34+I41</f>
        <v>263.701557422487</v>
      </c>
      <c r="J62" s="31">
        <f>J34+J41</f>
        <v>219.600452745002</v>
      </c>
      <c r="K62" s="31">
        <f>K34+K41</f>
        <v>169.668560724393</v>
      </c>
    </row>
    <row r="63" spans="2:11">
      <c r="B63" s="10" t="s">
        <v>175</v>
      </c>
      <c r="D63" s="31">
        <f>D28</f>
        <v>20</v>
      </c>
      <c r="E63" s="31">
        <f>E28</f>
        <v>22.1939732142857</v>
      </c>
      <c r="F63" s="31">
        <f>F28</f>
        <v>26.0669162597656</v>
      </c>
      <c r="G63" s="31">
        <f>G28</f>
        <v>31.7385554290608</v>
      </c>
      <c r="H63" s="31">
        <f>H28</f>
        <v>39.3207565813077</v>
      </c>
      <c r="I63" s="31">
        <f>I28</f>
        <v>48.7661475258377</v>
      </c>
      <c r="J63" s="31">
        <f>J28</f>
        <v>60.1331824183326</v>
      </c>
      <c r="K63" s="31">
        <f>K28</f>
        <v>73.4438130918691</v>
      </c>
    </row>
    <row r="64" spans="2:11">
      <c r="B64" s="5" t="s">
        <v>99</v>
      </c>
      <c r="D64" s="61">
        <f>D61-D63</f>
        <v>530</v>
      </c>
      <c r="E64" s="61">
        <f>E61-E63</f>
        <v>511.224107142857</v>
      </c>
      <c r="F64" s="61">
        <f>F61-F63</f>
        <v>485.732334960938</v>
      </c>
      <c r="G64" s="61">
        <f>G61-G63</f>
        <v>453.045778283757</v>
      </c>
      <c r="H64" s="61">
        <f>H61-H63</f>
        <v>412.716973674769</v>
      </c>
      <c r="I64" s="61">
        <f>I61-I63</f>
        <v>364.935409896649</v>
      </c>
      <c r="J64" s="61">
        <f>J61-J63</f>
        <v>309.46727032667</v>
      </c>
      <c r="K64" s="61">
        <f>K61-K63</f>
        <v>246.224747632524</v>
      </c>
    </row>
    <row r="66" spans="2:11">
      <c r="B66" s="8" t="s">
        <v>176</v>
      </c>
      <c r="C66" s="8"/>
      <c r="D66" s="8"/>
      <c r="E66" s="8"/>
      <c r="F66" s="8"/>
      <c r="G66" s="8"/>
      <c r="H66" s="8"/>
      <c r="I66" s="8"/>
      <c r="J66" s="8"/>
      <c r="K66" s="8"/>
    </row>
    <row r="67" spans="2:11">
      <c r="B67" s="10" t="s">
        <v>117</v>
      </c>
      <c r="D67" s="24">
        <f>Operating!D20</f>
        <v>100</v>
      </c>
      <c r="E67" s="24">
        <f>Operating!E20</f>
        <v>106</v>
      </c>
      <c r="F67" s="24">
        <f>Operating!F20</f>
        <v>114.62575</v>
      </c>
      <c r="G67" s="24">
        <f>Operating!G20</f>
        <v>123.292575</v>
      </c>
      <c r="H67" s="24">
        <f>Operating!H20</f>
        <v>131.9083775625</v>
      </c>
      <c r="I67" s="24">
        <f>Operating!I20</f>
        <v>139.57746928125</v>
      </c>
      <c r="J67" s="24">
        <f>Operating!J20</f>
        <v>147.6490349334</v>
      </c>
      <c r="K67" s="24">
        <f>Operating!K20</f>
        <v>154.53379330389</v>
      </c>
    </row>
    <row r="68" spans="2:11">
      <c r="B68" s="10" t="s">
        <v>68</v>
      </c>
      <c r="E68" s="24">
        <f>Operating!E23</f>
        <v>23.1875</v>
      </c>
      <c r="F68" s="24">
        <f>Operating!F23</f>
        <v>24.4628125</v>
      </c>
      <c r="G68" s="24">
        <f>Operating!G23</f>
        <v>25.685953125</v>
      </c>
      <c r="H68" s="24">
        <f>Operating!H23</f>
        <v>26.841821015625</v>
      </c>
      <c r="I68" s="24">
        <f>Operating!I23</f>
        <v>27.91549385625</v>
      </c>
      <c r="J68" s="24">
        <f>Operating!J23</f>
        <v>29.0321136105</v>
      </c>
      <c r="K68" s="24">
        <f>Operating!K23</f>
        <v>30.0482375868675</v>
      </c>
    </row>
    <row r="69" spans="2:11">
      <c r="B69" s="10" t="s">
        <v>177</v>
      </c>
      <c r="E69" s="24">
        <f>Operating!E32</f>
        <v>8.13660714285714</v>
      </c>
      <c r="F69" s="24">
        <f>Operating!F32</f>
        <v>10.3934627511161</v>
      </c>
      <c r="G69" s="24">
        <f>Operating!G32</f>
        <v>12.7903440412031</v>
      </c>
      <c r="H69" s="24">
        <f>Operating!H32</f>
        <v>15.3159182215971</v>
      </c>
      <c r="I69" s="24">
        <f>Operating!I32</f>
        <v>17.7573613560995</v>
      </c>
      <c r="J69" s="24">
        <f>Operating!J32</f>
        <v>20.4218078429694</v>
      </c>
      <c r="K69" s="24">
        <f>Operating!K32</f>
        <v>22.9468034227956</v>
      </c>
    </row>
    <row r="70" spans="2:11">
      <c r="B70" s="5" t="s">
        <v>178</v>
      </c>
      <c r="D70" s="72">
        <f>D61/D67</f>
        <v>5.5</v>
      </c>
      <c r="E70" s="72">
        <f>E61/E67</f>
        <v>5.03224604110512</v>
      </c>
      <c r="F70" s="72">
        <f>F61/F67</f>
        <v>4.46495880045019</v>
      </c>
      <c r="G70" s="72">
        <f>G61/G67</f>
        <v>3.93198320103881</v>
      </c>
      <c r="H70" s="72">
        <f>H61/H67</f>
        <v>3.42690690772764</v>
      </c>
      <c r="I70" s="72">
        <f>I61/I67</f>
        <v>2.96395657230949</v>
      </c>
      <c r="J70" s="72">
        <f>J61/J67</f>
        <v>2.50323649532635</v>
      </c>
      <c r="K70" s="72">
        <f>K61/K67</f>
        <v>2.06859971459942</v>
      </c>
    </row>
    <row r="71" spans="2:11">
      <c r="B71" s="10" t="s">
        <v>179</v>
      </c>
      <c r="D71" s="57">
        <f>D62/D67</f>
        <v>4</v>
      </c>
      <c r="E71" s="57">
        <f>E62/E67</f>
        <v>3.61715170148248</v>
      </c>
      <c r="F71" s="57">
        <f>F62/F67</f>
        <v>3.15635231368783</v>
      </c>
      <c r="G71" s="57">
        <f>G62/G67</f>
        <v>2.71536492536406</v>
      </c>
      <c r="H71" s="57">
        <f>H62/H67</f>
        <v>2.28975396284415</v>
      </c>
      <c r="I71" s="57">
        <f>I62/I67</f>
        <v>1.88928455846356</v>
      </c>
      <c r="J71" s="57">
        <f>J62/J67</f>
        <v>1.48731383746638</v>
      </c>
      <c r="K71" s="57">
        <f>K62/K67</f>
        <v>1.09793823795382</v>
      </c>
    </row>
    <row r="72" spans="2:11">
      <c r="B72" s="10" t="s">
        <v>180</v>
      </c>
      <c r="D72" s="57">
        <f>D64/D67</f>
        <v>5.3</v>
      </c>
      <c r="E72" s="57">
        <f>E64/E67</f>
        <v>4.82286893530997</v>
      </c>
      <c r="F72" s="57">
        <f>F64/F67</f>
        <v>4.23754989573405</v>
      </c>
      <c r="G72" s="57">
        <f>G64/G67</f>
        <v>3.6745584905154</v>
      </c>
      <c r="H72" s="57">
        <f>H64/H67</f>
        <v>3.12881548011777</v>
      </c>
      <c r="I72" s="57">
        <f>I64/I67</f>
        <v>2.61457247918216</v>
      </c>
      <c r="J72" s="57">
        <f>J64/J67</f>
        <v>2.09596541193961</v>
      </c>
      <c r="K72" s="57">
        <f>K64/K67</f>
        <v>1.59333918082451</v>
      </c>
    </row>
    <row r="73" spans="2:11">
      <c r="B73" s="5" t="s">
        <v>181</v>
      </c>
      <c r="E73" s="73">
        <f>IF(E55&gt;0.000000001,E67/E55,"n.a.")</f>
        <v>2.04633204633205</v>
      </c>
      <c r="F73" s="73">
        <f>IF(F55&gt;0.000000001,F67/F55,"n.a.")</f>
        <v>2.2766204541496</v>
      </c>
      <c r="G73" s="73">
        <f>IF(G55&gt;0.000000001,G67/G55,"n.a.")</f>
        <v>2.54434796886075</v>
      </c>
      <c r="H73" s="73">
        <f>IF(H55&gt;0.000000001,H67/H55,"n.a.")</f>
        <v>2.86174857246579</v>
      </c>
      <c r="I73" s="73">
        <f>IF(I55&gt;0.000000001,I67/I55,"n.a.")</f>
        <v>3.22884464041475</v>
      </c>
      <c r="J73" s="73">
        <f>IF(J55&gt;0.000000001,J67/J55,"n.a.")</f>
        <v>3.70290053788772</v>
      </c>
      <c r="K73" s="73">
        <f>IF(K55&gt;0.000000001,K67/K55,"n.a.")</f>
        <v>4.29081280917771</v>
      </c>
    </row>
    <row r="74" spans="2:11">
      <c r="B74" s="10" t="s">
        <v>182</v>
      </c>
      <c r="E74" s="74">
        <f>IF(E55&gt;0.000000001,(E67-E68)/E55,"n.a.")</f>
        <v>1.59869691119691</v>
      </c>
      <c r="F74" s="74">
        <f>IF(F55&gt;0.000000001,(F67-F68)/F55,"n.a.")</f>
        <v>1.79075633283719</v>
      </c>
      <c r="G74" s="74">
        <f>IF(G55&gt;0.000000001,(G67-G68)/G55,"n.a.")</f>
        <v>2.01427547534809</v>
      </c>
      <c r="H74" s="74">
        <f>IF(H55&gt;0.000000001,(H67-H68)/H55,"n.a.")</f>
        <v>2.2794160141152</v>
      </c>
      <c r="I74" s="74">
        <f>IF(I55&gt;0.000000001,(I67-I68)/I55,"n.a.")</f>
        <v>2.5830757123318</v>
      </c>
      <c r="J74" s="74">
        <f>IF(J55&gt;0.000000001,(J67-J68)/J55,"n.a.")</f>
        <v>2.97480211751654</v>
      </c>
      <c r="K74" s="74">
        <f>IF(K55&gt;0.000000001,(K67-K68)/K55,"n.a.")</f>
        <v>3.45648809628204</v>
      </c>
    </row>
    <row r="75" spans="2:11">
      <c r="B75" s="10" t="s">
        <v>183</v>
      </c>
      <c r="E75" s="74">
        <f>IF((E55+E39)&gt;0.000000001,(E67-E68-E69)/(E55+E39),"n.a.")</f>
        <v>1.20834778085992</v>
      </c>
      <c r="F75" s="74">
        <f>IF((F55+F39)&gt;0.000000001,(F67-F68-F69)/(F55+F39),"n.a.")</f>
        <v>1.32180096306316</v>
      </c>
      <c r="G75" s="74">
        <f>IF((G55+G39)&gt;0.000000001,(G67-G68-G69)/(G55+G39),"n.a.")</f>
        <v>1.45090660556078</v>
      </c>
      <c r="H75" s="74">
        <f>IF((H55+H39)&gt;0.000000001,(H67-H68-H69)/(H55+H39),"n.a.")</f>
        <v>1.60001482531074</v>
      </c>
      <c r="I75" s="74">
        <f>IF((I55+I39)&gt;0.000000001,(I67-I68-I69)/(I55+I39),"n.a.")</f>
        <v>1.76418581099933</v>
      </c>
      <c r="J75" s="74">
        <f>IF((J55+J39)&gt;0.000000001,(J67-J68-J69)/(J55+J39),"n.a.")</f>
        <v>1.96886829591622</v>
      </c>
      <c r="K75" s="74">
        <f>IF((K55+K39)&gt;0.000000001,(K67-K68-K69)/(K55+K39),"n.a.")</f>
        <v>2.20664272253963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63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184</v>
      </c>
    </row>
    <row r="2" spans="2:11">
      <c r="B2" s="3" t="s">
        <v>185</v>
      </c>
    </row>
    <row r="4" spans="2:11">
      <c r="B4" s="8" t="s">
        <v>186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10" t="s">
        <v>187</v>
      </c>
      <c r="D5" s="38">
        <f>Inputs!$D$47</f>
        <v>5</v>
      </c>
    </row>
    <row r="6" spans="2:11">
      <c r="B6" s="10" t="s">
        <v>69</v>
      </c>
      <c r="D6" s="53">
        <f>Inputs!$D$48</f>
        <v>9</v>
      </c>
    </row>
    <row r="7" spans="2:11">
      <c r="B7" s="10" t="s">
        <v>188</v>
      </c>
      <c r="D7" s="53">
        <f>Inputs!$D$16</f>
        <v>9</v>
      </c>
    </row>
    <row r="8" spans="2:11">
      <c r="B8" s="10" t="s">
        <v>189</v>
      </c>
      <c r="D8" s="24">
        <f>Inputs!$D$15</f>
        <v>100</v>
      </c>
    </row>
    <row r="9" spans="2:11">
      <c r="B9" s="10" t="s">
        <v>190</v>
      </c>
      <c r="D9" s="24">
        <f>Transaction!$D$44</f>
        <v>403.25</v>
      </c>
    </row>
    <row r="10" spans="2:11">
      <c r="B10" s="10" t="s">
        <v>191</v>
      </c>
      <c r="D10" s="24">
        <f>Transaction!$D$22</f>
        <v>378.25</v>
      </c>
    </row>
    <row r="11" spans="2:11">
      <c r="B11" s="10" t="s">
        <v>192</v>
      </c>
      <c r="D11" s="26">
        <f>Inputs!$D$22</f>
        <v>0.05</v>
      </c>
    </row>
    <row r="12" spans="2:11">
      <c r="B12" s="10" t="s">
        <v>193</v>
      </c>
      <c r="D12" s="24">
        <f>Transaction!$D$43</f>
        <v>530</v>
      </c>
    </row>
    <row r="13" spans="2:11">
      <c r="B13" s="10" t="s">
        <v>194</v>
      </c>
      <c r="D13" s="31">
        <f>Transaction!$D$9+Transaction!$D$13</f>
        <v>33.25</v>
      </c>
    </row>
    <row r="15" spans="2:11">
      <c r="B15" s="8" t="s">
        <v>195</v>
      </c>
      <c r="C15" s="8"/>
      <c r="D15" s="8"/>
      <c r="E15" s="8"/>
      <c r="F15" s="8"/>
      <c r="G15" s="8"/>
      <c r="H15" s="8"/>
      <c r="I15" s="8"/>
      <c r="J15" s="8"/>
      <c r="K15" s="8"/>
    </row>
    <row r="16" spans="2:11">
      <c r="B16" s="10" t="s">
        <v>196</v>
      </c>
      <c r="D16" s="24">
        <f>INDEX(Operating!$E$20:$K$20,D5)</f>
        <v>139.57746928125</v>
      </c>
    </row>
    <row r="17" spans="2:11">
      <c r="B17" s="10" t="s">
        <v>197</v>
      </c>
      <c r="D17" s="31">
        <f>D16*D6</f>
        <v>1256.19722353125</v>
      </c>
    </row>
    <row r="18" spans="2:11">
      <c r="B18" s="10" t="s">
        <v>198</v>
      </c>
      <c r="D18" s="24">
        <f>INDEX(Debt!$E$34:$K$34,D5)</f>
        <v>0</v>
      </c>
    </row>
    <row r="19" spans="2:11">
      <c r="B19" s="10" t="s">
        <v>199</v>
      </c>
      <c r="D19" s="24">
        <f>INDEX(Debt!$E$41:$K$41,D5)</f>
        <v>263.701557422487</v>
      </c>
    </row>
    <row r="20" spans="2:11">
      <c r="B20" s="10" t="s">
        <v>200</v>
      </c>
      <c r="D20" s="24">
        <f>INDEX(Debt!$E$46:$K$46,D5)</f>
        <v>150</v>
      </c>
    </row>
    <row r="21" spans="2:11">
      <c r="B21" s="10" t="s">
        <v>201</v>
      </c>
      <c r="D21" s="24">
        <f>INDEX(Debt!$E$28:$K$28,D5)</f>
        <v>48.7661475258377</v>
      </c>
    </row>
    <row r="22" spans="2:11">
      <c r="B22" s="10" t="s">
        <v>202</v>
      </c>
      <c r="D22" s="31">
        <f>D18+D19+D20-D21</f>
        <v>364.935409896649</v>
      </c>
    </row>
    <row r="23" spans="2:11">
      <c r="B23" s="5" t="s">
        <v>203</v>
      </c>
      <c r="D23" s="75">
        <f>D17-D22</f>
        <v>891.261813634601</v>
      </c>
    </row>
    <row r="25" spans="2:11"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</row>
    <row r="26" spans="2:11">
      <c r="B26" s="10" t="s">
        <v>205</v>
      </c>
      <c r="D26" s="31">
        <f>D23-D9</f>
        <v>488.011813634601</v>
      </c>
    </row>
    <row r="27" spans="2:11">
      <c r="B27" s="10" t="s">
        <v>206</v>
      </c>
      <c r="D27" s="31">
        <f>D11*MAX(0,D26)</f>
        <v>24.40059068173</v>
      </c>
    </row>
    <row r="28" spans="2:11">
      <c r="B28" s="10" t="s">
        <v>207</v>
      </c>
      <c r="D28" s="31">
        <f>D23-D27</f>
        <v>866.861222952871</v>
      </c>
    </row>
    <row r="29" spans="2:11">
      <c r="B29" s="10" t="s">
        <v>208</v>
      </c>
      <c r="D29" s="25">
        <f>D10/D9</f>
        <v>0.938003719776813</v>
      </c>
    </row>
    <row r="30" spans="2:11">
      <c r="B30" s="10" t="s">
        <v>209</v>
      </c>
      <c r="D30" s="31">
        <f>D29*D28</f>
        <v>813.11905166007</v>
      </c>
    </row>
    <row r="31" spans="2:11">
      <c r="B31" s="10" t="s">
        <v>210</v>
      </c>
      <c r="D31" s="31">
        <f>D28-D30</f>
        <v>53.7421712928004</v>
      </c>
    </row>
    <row r="32" spans="2:11">
      <c r="B32" s="5" t="s">
        <v>211</v>
      </c>
      <c r="D32" s="76">
        <f>D30/D10</f>
        <v>2.14968685171202</v>
      </c>
    </row>
    <row r="33" spans="2:11">
      <c r="B33" s="5" t="s">
        <v>212</v>
      </c>
      <c r="D33" s="77">
        <f>IF(D32&lt;=0,-1,D32^(1/D5)-1)</f>
        <v>0.16540007051389</v>
      </c>
    </row>
    <row r="35" spans="2:11">
      <c r="B35" s="8" t="s">
        <v>213</v>
      </c>
      <c r="C35" s="8"/>
      <c r="D35" s="8"/>
      <c r="E35" s="8"/>
      <c r="F35" s="8"/>
      <c r="G35" s="8"/>
      <c r="H35" s="8"/>
      <c r="I35" s="8"/>
      <c r="J35" s="8"/>
      <c r="K35" s="8"/>
    </row>
    <row r="36" spans="2:11">
      <c r="B36" s="78" t="s">
        <v>214</v>
      </c>
      <c r="C36" s="55" t="s">
        <v>50</v>
      </c>
      <c r="D36" s="56" t="s">
        <v>17</v>
      </c>
      <c r="E36" s="56" t="s">
        <v>215</v>
      </c>
      <c r="F36" s="56" t="s">
        <v>216</v>
      </c>
    </row>
    <row r="37" spans="2:11">
      <c r="B37" s="41" t="s">
        <v>217</v>
      </c>
      <c r="D37" s="31">
        <f>D9</f>
        <v>403.25</v>
      </c>
    </row>
    <row r="38" spans="2:11">
      <c r="B38" s="41" t="s">
        <v>218</v>
      </c>
      <c r="D38" s="31">
        <f>D7*(D16-D8)</f>
        <v>356.19722353125</v>
      </c>
      <c r="E38" s="25">
        <f>IF(ABS(D42)&gt;0.000000001,D38/D42,0)</f>
        <v>0.72989467381614</v>
      </c>
      <c r="F38" s="57">
        <f>D38/D37</f>
        <v>0.883316115390576</v>
      </c>
    </row>
    <row r="39" spans="2:11">
      <c r="B39" s="41" t="s">
        <v>219</v>
      </c>
      <c r="D39" s="31">
        <f>(D6-D7)*D16</f>
        <v>0</v>
      </c>
      <c r="E39" s="25">
        <f>IF(ABS(D42)&gt;0.000000001,D39/D42,0)</f>
        <v>0</v>
      </c>
      <c r="F39" s="57">
        <f>D39/D37</f>
        <v>0</v>
      </c>
    </row>
    <row r="40" spans="2:11">
      <c r="B40" s="41" t="s">
        <v>220</v>
      </c>
      <c r="D40" s="31">
        <f>D12-D22</f>
        <v>165.064590103351</v>
      </c>
      <c r="E40" s="25">
        <f>IF(ABS(D42)&gt;0.000000001,D40/D42,0)</f>
        <v>0.338238922689161</v>
      </c>
      <c r="F40" s="57">
        <f>D40/D37</f>
        <v>0.409335623318911</v>
      </c>
    </row>
    <row r="41" spans="2:11">
      <c r="B41" s="41" t="s">
        <v>221</v>
      </c>
      <c r="D41" s="31">
        <f>-D13</f>
        <v>-33.25</v>
      </c>
      <c r="E41" s="25">
        <f>IF(ABS(D42)&gt;0.000000001,D41/D42,0)</f>
        <v>-0.0681335965053009</v>
      </c>
      <c r="F41" s="57">
        <f>D41/D37</f>
        <v>-0.0824550526968382</v>
      </c>
    </row>
    <row r="42" spans="2:11">
      <c r="B42" s="27" t="s">
        <v>222</v>
      </c>
      <c r="C42" s="58" t="s">
        <v>50</v>
      </c>
      <c r="D42" s="59">
        <f>SUM(D38:D41)</f>
        <v>488.011813634601</v>
      </c>
      <c r="E42" s="30">
        <f>IF(ABS(D42)&gt;0.000000001,D42/D42,0)</f>
        <v>1</v>
      </c>
      <c r="F42" s="60">
        <f>D42/D37</f>
        <v>1.21019668601265</v>
      </c>
    </row>
    <row r="43" spans="2:11">
      <c r="B43" s="27" t="s">
        <v>223</v>
      </c>
      <c r="C43" s="58" t="s">
        <v>50</v>
      </c>
      <c r="D43" s="59">
        <f>D37+D42</f>
        <v>891.261813634601</v>
      </c>
    </row>
    <row r="44" spans="2:11">
      <c r="B44" s="41" t="s">
        <v>224</v>
      </c>
      <c r="D44" s="31">
        <f>D43-D23</f>
        <v>0</v>
      </c>
    </row>
    <row r="45" spans="2:11">
      <c r="B45" s="41" t="s">
        <v>225</v>
      </c>
      <c r="D45" s="31">
        <f>-D27</f>
        <v>-24.40059068173</v>
      </c>
    </row>
    <row r="46" spans="2:11">
      <c r="B46" s="41" t="s">
        <v>226</v>
      </c>
      <c r="D46" s="31">
        <f>D42+D45</f>
        <v>463.611222952871</v>
      </c>
    </row>
    <row r="47" spans="2:11">
      <c r="B47" s="41" t="s">
        <v>227</v>
      </c>
      <c r="D47" s="25">
        <f>D29</f>
        <v>0.938003719776813</v>
      </c>
    </row>
    <row r="48" spans="2:11">
      <c r="B48" s="79" t="s">
        <v>228</v>
      </c>
      <c r="D48" s="61">
        <f>D47*D46</f>
        <v>434.86905166007</v>
      </c>
    </row>
    <row r="49" spans="2:11">
      <c r="B49" s="41" t="s">
        <v>229</v>
      </c>
      <c r="D49" s="31">
        <f>D48-(D30-D10)</f>
        <v>0</v>
      </c>
    </row>
    <row r="51" spans="2:11">
      <c r="B51" s="8" t="s">
        <v>230</v>
      </c>
      <c r="C51" s="8"/>
      <c r="D51" s="8"/>
      <c r="E51" s="8"/>
      <c r="F51" s="8"/>
      <c r="G51" s="8"/>
      <c r="H51" s="8"/>
      <c r="I51" s="8"/>
      <c r="J51" s="8"/>
      <c r="K51" s="8"/>
    </row>
    <row r="52" spans="2:11">
      <c r="B52" s="8" t="s">
        <v>231</v>
      </c>
      <c r="C52" s="49" t="s">
        <v>50</v>
      </c>
      <c r="D52" s="50">
        <f>COLUMN()-COLUMN($D$1)</f>
        <v>0</v>
      </c>
      <c r="E52" s="50">
        <f>COLUMN()-COLUMN($D$1)</f>
        <v>1</v>
      </c>
      <c r="F52" s="50">
        <f>COLUMN()-COLUMN($D$1)</f>
        <v>2</v>
      </c>
      <c r="G52" s="50">
        <f>COLUMN()-COLUMN($D$1)</f>
        <v>3</v>
      </c>
      <c r="H52" s="50">
        <f>COLUMN()-COLUMN($D$1)</f>
        <v>4</v>
      </c>
      <c r="I52" s="50">
        <f>COLUMN()-COLUMN($D$1)</f>
        <v>5</v>
      </c>
      <c r="J52" s="50">
        <f>COLUMN()-COLUMN($D$1)</f>
        <v>6</v>
      </c>
      <c r="K52" s="50">
        <f>COLUMN()-COLUMN($D$1)</f>
        <v>7</v>
      </c>
    </row>
    <row r="53" spans="2:11">
      <c r="B53" s="10" t="s">
        <v>232</v>
      </c>
      <c r="C53" s="3" t="s">
        <v>17</v>
      </c>
      <c r="D53" s="31">
        <f>-$D$10</f>
        <v>-378.25</v>
      </c>
      <c r="E53" s="31">
        <f>IF(E52=$D$5,$D$30,0)</f>
        <v>0</v>
      </c>
      <c r="F53" s="31">
        <f>IF(F52=$D$5,$D$30,0)</f>
        <v>0</v>
      </c>
      <c r="G53" s="31">
        <f>IF(G52=$D$5,$D$30,0)</f>
        <v>0</v>
      </c>
      <c r="H53" s="31">
        <f>IF(H52=$D$5,$D$30,0)</f>
        <v>0</v>
      </c>
      <c r="I53" s="31">
        <f>IF(I52=$D$5,$D$30,0)</f>
        <v>813.11905166007</v>
      </c>
      <c r="J53" s="31">
        <f>IF(J52=$D$5,$D$30,0)</f>
        <v>0</v>
      </c>
      <c r="K53" s="31">
        <f>IF(K52=$D$5,$D$30,0)</f>
        <v>0</v>
      </c>
    </row>
    <row r="54" spans="2:11">
      <c r="B54" s="5" t="s">
        <v>233</v>
      </c>
      <c r="D54" s="80">
        <f>IRR(D53:K53)</f>
        <v>0.16540007051389</v>
      </c>
    </row>
    <row r="56" spans="2:11">
      <c r="B56" s="8" t="s">
        <v>234</v>
      </c>
      <c r="C56" s="8"/>
      <c r="D56" s="8"/>
      <c r="E56" s="8"/>
      <c r="F56" s="8"/>
      <c r="G56" s="8"/>
      <c r="H56" s="8"/>
      <c r="I56" s="8"/>
      <c r="J56" s="8"/>
      <c r="K56" s="8"/>
    </row>
    <row r="57" spans="2:11">
      <c r="B57" s="54" t="s">
        <v>235</v>
      </c>
      <c r="D57" s="56" t="s">
        <v>236</v>
      </c>
      <c r="E57" s="56" t="s">
        <v>237</v>
      </c>
      <c r="F57" s="56" t="s">
        <v>238</v>
      </c>
      <c r="G57" s="56" t="s">
        <v>239</v>
      </c>
      <c r="H57" s="56" t="s">
        <v>240</v>
      </c>
    </row>
    <row r="58" spans="2:11">
      <c r="B58" s="10" t="s">
        <v>241</v>
      </c>
      <c r="E58" s="31">
        <f>H58</f>
        <v>403.25</v>
      </c>
      <c r="H58" s="31">
        <f>D37</f>
        <v>403.25</v>
      </c>
    </row>
    <row r="59" spans="2:11">
      <c r="B59" s="10" t="s">
        <v>242</v>
      </c>
      <c r="D59" s="31">
        <f>MIN(H58,H59)</f>
        <v>403.25</v>
      </c>
      <c r="F59" s="31">
        <f>MAX(D38,0)</f>
        <v>356.19722353125</v>
      </c>
      <c r="G59" s="31">
        <f>MAX(-D38,0)</f>
        <v>0</v>
      </c>
      <c r="H59" s="31">
        <f>H58+D38</f>
        <v>759.44722353125</v>
      </c>
    </row>
    <row r="60" spans="2:11">
      <c r="B60" s="10" t="s">
        <v>243</v>
      </c>
      <c r="D60" s="31">
        <f>MIN(H59,H60)</f>
        <v>759.44722353125</v>
      </c>
      <c r="F60" s="31">
        <f>MAX(D39,0)</f>
        <v>0</v>
      </c>
      <c r="G60" s="31">
        <f>MAX(-D39,0)</f>
        <v>0</v>
      </c>
      <c r="H60" s="31">
        <f>H59+D39</f>
        <v>759.44722353125</v>
      </c>
    </row>
    <row r="61" spans="2:11">
      <c r="B61" s="10" t="s">
        <v>244</v>
      </c>
      <c r="D61" s="31">
        <f>MIN(H60,H61)</f>
        <v>759.44722353125</v>
      </c>
      <c r="F61" s="31">
        <f>MAX(D40,0)</f>
        <v>165.064590103351</v>
      </c>
      <c r="G61" s="31">
        <f>MAX(-D40,0)</f>
        <v>0</v>
      </c>
      <c r="H61" s="31">
        <f>H60+D40</f>
        <v>924.511813634601</v>
      </c>
    </row>
    <row r="62" spans="2:11">
      <c r="B62" s="10" t="s">
        <v>245</v>
      </c>
      <c r="D62" s="31">
        <f>MIN(H61,H62)</f>
        <v>891.261813634601</v>
      </c>
      <c r="F62" s="31">
        <f>MAX(D41,0)</f>
        <v>0</v>
      </c>
      <c r="G62" s="31">
        <f>MAX(-D41,0)</f>
        <v>33.25</v>
      </c>
      <c r="H62" s="31">
        <f>H61+D41</f>
        <v>891.261813634601</v>
      </c>
    </row>
    <row r="63" spans="2:11">
      <c r="B63" s="10" t="s">
        <v>246</v>
      </c>
      <c r="E63" s="31">
        <f>H63</f>
        <v>891.261813634601</v>
      </c>
      <c r="H63" s="31">
        <f>D43</f>
        <v>891.261813634601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6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4.7109375" customWidth="1"/>
    <col min="4" max="11" width="13.28515625" customWidth="1"/>
  </cols>
  <sheetData>
    <row r="1" spans="2:11">
      <c r="B1" s="14" t="s">
        <v>247</v>
      </c>
    </row>
    <row r="2" spans="2:11">
      <c r="B2" s="3" t="s">
        <v>248</v>
      </c>
    </row>
    <row r="4" spans="2:11">
      <c r="B4" s="8" t="s">
        <v>186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10" t="s">
        <v>187</v>
      </c>
      <c r="D5" s="38">
        <f>Inputs!$D$47</f>
        <v>5</v>
      </c>
    </row>
    <row r="6" spans="2:11">
      <c r="B6" s="10" t="s">
        <v>69</v>
      </c>
      <c r="D6" s="53">
        <f>Inputs!$D$48</f>
        <v>9</v>
      </c>
    </row>
    <row r="7" spans="2:11">
      <c r="B7" s="10" t="s">
        <v>188</v>
      </c>
      <c r="D7" s="53">
        <f>Inputs!$D$16</f>
        <v>9</v>
      </c>
    </row>
    <row r="8" spans="2:11">
      <c r="B8" s="10" t="s">
        <v>249</v>
      </c>
      <c r="D8" s="53">
        <f>Inputs!$D$49</f>
        <v>0.5</v>
      </c>
    </row>
    <row r="9" spans="2:11">
      <c r="B9" s="10" t="s">
        <v>18</v>
      </c>
      <c r="D9" s="24">
        <f>Inputs!$D$15</f>
        <v>100</v>
      </c>
    </row>
    <row r="10" spans="2:11">
      <c r="B10" s="10" t="s">
        <v>75</v>
      </c>
      <c r="D10" s="36">
        <f>Inputs!$D$17</f>
        <v>0.02</v>
      </c>
    </row>
    <row r="11" spans="2:11">
      <c r="B11" s="10" t="s">
        <v>23</v>
      </c>
      <c r="D11" s="24">
        <f>Transaction!$D$13</f>
        <v>15.25</v>
      </c>
    </row>
    <row r="12" spans="2:11">
      <c r="B12" s="10" t="s">
        <v>148</v>
      </c>
      <c r="D12" s="24">
        <f>Inputs!$D$20</f>
        <v>20</v>
      </c>
    </row>
    <row r="13" spans="2:11">
      <c r="B13" s="10" t="s">
        <v>250</v>
      </c>
      <c r="D13" s="24">
        <f>Transaction!$D$41</f>
        <v>550</v>
      </c>
    </row>
    <row r="14" spans="2:11">
      <c r="B14" s="10" t="s">
        <v>192</v>
      </c>
      <c r="D14" s="26">
        <f>Inputs!$D$22</f>
        <v>0.05</v>
      </c>
    </row>
    <row r="15" spans="2:11">
      <c r="B15" s="10" t="s">
        <v>251</v>
      </c>
      <c r="D15" s="24">
        <f>Transaction!$D$44</f>
        <v>403.25</v>
      </c>
    </row>
    <row r="17" spans="2:11">
      <c r="B17" s="8" t="s">
        <v>49</v>
      </c>
      <c r="C17" s="49" t="s">
        <v>50</v>
      </c>
      <c r="D17" s="50">
        <f>COLUMN()-COLUMN($D$1)</f>
        <v>0</v>
      </c>
      <c r="E17" s="50">
        <f>COLUMN()-COLUMN($D$1)</f>
        <v>1</v>
      </c>
      <c r="F17" s="50">
        <f>COLUMN()-COLUMN($D$1)</f>
        <v>2</v>
      </c>
      <c r="G17" s="50">
        <f>COLUMN()-COLUMN($D$1)</f>
        <v>3</v>
      </c>
      <c r="H17" s="50">
        <f>COLUMN()-COLUMN($D$1)</f>
        <v>4</v>
      </c>
      <c r="I17" s="50">
        <f>COLUMN()-COLUMN($D$1)</f>
        <v>5</v>
      </c>
      <c r="J17" s="50">
        <f>COLUMN()-COLUMN($D$1)</f>
        <v>6</v>
      </c>
      <c r="K17" s="50">
        <f>COLUMN()-COLUMN($D$1)</f>
        <v>7</v>
      </c>
    </row>
    <row r="18" spans="2:11">
      <c r="B18" s="10" t="s">
        <v>252</v>
      </c>
      <c r="E18" s="24">
        <f>Operating!E20</f>
        <v>106</v>
      </c>
      <c r="F18" s="24">
        <f>Operating!F20</f>
        <v>114.62575</v>
      </c>
      <c r="G18" s="24">
        <f>Operating!G20</f>
        <v>123.292575</v>
      </c>
      <c r="H18" s="24">
        <f>Operating!H20</f>
        <v>131.9083775625</v>
      </c>
      <c r="I18" s="24">
        <f>Operating!I20</f>
        <v>139.57746928125</v>
      </c>
      <c r="J18" s="24">
        <f>Operating!J20</f>
        <v>147.6490349334</v>
      </c>
      <c r="K18" s="24">
        <f>Operating!K20</f>
        <v>154.53379330389</v>
      </c>
    </row>
    <row r="19" spans="2:11">
      <c r="B19" s="10" t="s">
        <v>253</v>
      </c>
      <c r="E19" s="24">
        <f>Debt!E64</f>
        <v>511.224107142857</v>
      </c>
      <c r="F19" s="24">
        <f>Debt!F64</f>
        <v>485.732334960938</v>
      </c>
      <c r="G19" s="24">
        <f>Debt!G64</f>
        <v>453.045778283757</v>
      </c>
      <c r="H19" s="24">
        <f>Debt!H64</f>
        <v>412.716973674769</v>
      </c>
      <c r="I19" s="24">
        <f>Debt!I64</f>
        <v>364.935409896649</v>
      </c>
      <c r="J19" s="24">
        <f>Debt!J64</f>
        <v>309.46727032667</v>
      </c>
      <c r="K19" s="24">
        <f>Debt!K64</f>
        <v>246.224747632524</v>
      </c>
    </row>
    <row r="21" spans="2:11">
      <c r="B21" s="8" t="s">
        <v>254</v>
      </c>
      <c r="C21" s="8"/>
      <c r="D21" s="8"/>
      <c r="E21" s="8"/>
      <c r="F21" s="8"/>
      <c r="G21" s="8"/>
      <c r="H21" s="8"/>
      <c r="I21" s="8"/>
    </row>
    <row r="22" spans="2:11">
      <c r="B22" s="5" t="s">
        <v>211</v>
      </c>
      <c r="C22" s="56" t="s">
        <v>255</v>
      </c>
      <c r="D22" s="81">
        <f>$D$6+(-2)*$D$8</f>
        <v>8</v>
      </c>
      <c r="E22" s="81">
        <f>$D$6+(-1)*$D$8</f>
        <v>8.5</v>
      </c>
      <c r="F22" s="81">
        <f>$D$6+(0)*$D$8</f>
        <v>9</v>
      </c>
      <c r="G22" s="81">
        <f>$D$6+(1)*$D$8</f>
        <v>9.5</v>
      </c>
      <c r="H22" s="81">
        <f>$D$6+(2)*$D$8</f>
        <v>10</v>
      </c>
      <c r="I22" s="68" t="s">
        <v>241</v>
      </c>
    </row>
    <row r="23" spans="2:11">
      <c r="B23" s="3" t="s">
        <v>256</v>
      </c>
      <c r="D23" s="82">
        <f>D22*INDEX($E$18:$K$18,$D$5)-INDEX($E$19:$K$19,$D$5)</f>
        <v>751.684344353351</v>
      </c>
      <c r="E23" s="82">
        <f>E22*INDEX($E$18:$K$18,$D$5)-INDEX($E$19:$K$19,$D$5)</f>
        <v>821.473078993976</v>
      </c>
      <c r="F23" s="82">
        <f>F22*INDEX($E$18:$K$18,$D$5)-INDEX($E$19:$K$19,$D$5)</f>
        <v>891.261813634601</v>
      </c>
      <c r="G23" s="82">
        <f>G22*INDEX($E$18:$K$18,$D$5)-INDEX($E$19:$K$19,$D$5)</f>
        <v>961.050548275226</v>
      </c>
      <c r="H23" s="82">
        <f>H22*INDEX($E$18:$K$18,$D$5)-INDEX($E$19:$K$19,$D$5)</f>
        <v>1030.83928291585</v>
      </c>
    </row>
    <row r="24" spans="2:11">
      <c r="C24" s="83">
        <f>$D$7+(-2)*$D$8</f>
        <v>8</v>
      </c>
      <c r="D24" s="57">
        <f>(D$23-$D$14*MAX(0,D$23-$I24))/$I24</f>
        <v>2.42045685356243</v>
      </c>
      <c r="E24" s="57">
        <f>(E$23-$D$14*MAX(0,E$23-$I24))/$I24</f>
        <v>2.64053751052042</v>
      </c>
      <c r="F24" s="57">
        <f>(F$23-$D$14*MAX(0,F$23-$I24))/$I24</f>
        <v>2.86061816747841</v>
      </c>
      <c r="G24" s="57">
        <f>(G$23-$D$14*MAX(0,G$23-$I24))/$I24</f>
        <v>3.0806988244364</v>
      </c>
      <c r="H24" s="57">
        <f>(H$23-$D$14*MAX(0,H$23-$I24))/$I24</f>
        <v>3.30077948139438</v>
      </c>
      <c r="I24" s="82">
        <f>C24*$D$9*(1+$D$10)+$D$11+$D$12-$D$13</f>
        <v>301.25</v>
      </c>
    </row>
    <row r="25" spans="2:11">
      <c r="C25" s="83">
        <f>$D$7+(-1)*$D$8</f>
        <v>8.5</v>
      </c>
      <c r="D25" s="57">
        <f>(D$23-$D$14*MAX(0,D$23-$I25))/$I25</f>
        <v>2.07725373210982</v>
      </c>
      <c r="E25" s="57">
        <f>(E$23-$D$14*MAX(0,E$23-$I25))/$I25</f>
        <v>2.26547033369561</v>
      </c>
      <c r="F25" s="57">
        <f>(F$23-$D$14*MAX(0,F$23-$I25))/$I25</f>
        <v>2.45368693528139</v>
      </c>
      <c r="G25" s="57">
        <f>(G$23-$D$14*MAX(0,G$23-$I25))/$I25</f>
        <v>2.64190353686718</v>
      </c>
      <c r="H25" s="57">
        <f>(H$23-$D$14*MAX(0,H$23-$I25))/$I25</f>
        <v>2.83012013845297</v>
      </c>
      <c r="I25" s="82">
        <f>C25*$D$9*(1+$D$10)+$D$11+$D$12-$D$13</f>
        <v>352.25</v>
      </c>
    </row>
    <row r="26" spans="2:11">
      <c r="C26" s="83">
        <f>$D$7+(0)*$D$8</f>
        <v>9</v>
      </c>
      <c r="D26" s="57">
        <f>(D$23-$D$14*MAX(0,D$23-$I26))/$I26</f>
        <v>1.82086206357268</v>
      </c>
      <c r="E26" s="57">
        <f>(E$23-$D$14*MAX(0,E$23-$I26))/$I26</f>
        <v>1.98527445764235</v>
      </c>
      <c r="F26" s="72">
        <f>(F$23-$D$14*MAX(0,F$23-$I26))/$I26</f>
        <v>2.14968685171202</v>
      </c>
      <c r="G26" s="57">
        <f>(G$23-$D$14*MAX(0,G$23-$I26))/$I26</f>
        <v>2.31409924578169</v>
      </c>
      <c r="H26" s="57">
        <f>(H$23-$D$14*MAX(0,H$23-$I26))/$I26</f>
        <v>2.47851163985135</v>
      </c>
      <c r="I26" s="82">
        <f>C26*$D$9*(1+$D$10)+$D$11+$D$12-$D$13</f>
        <v>403.25</v>
      </c>
    </row>
    <row r="27" spans="2:11">
      <c r="C27" s="83">
        <f>$D$7+(1)*$D$8</f>
        <v>9.5</v>
      </c>
      <c r="D27" s="57">
        <f>(D$23-$D$14*MAX(0,D$23-$I27))/$I27</f>
        <v>1.6220421070681</v>
      </c>
      <c r="E27" s="57">
        <f>(E$23-$D$14*MAX(0,E$23-$I27))/$I27</f>
        <v>1.76799543212829</v>
      </c>
      <c r="F27" s="57">
        <f>(F$23-$D$14*MAX(0,F$23-$I27))/$I27</f>
        <v>1.91394875718849</v>
      </c>
      <c r="G27" s="57">
        <f>(G$23-$D$14*MAX(0,G$23-$I27))/$I27</f>
        <v>2.05990208224868</v>
      </c>
      <c r="H27" s="57">
        <f>(H$23-$D$14*MAX(0,H$23-$I27))/$I27</f>
        <v>2.20585540730888</v>
      </c>
      <c r="I27" s="82">
        <f>C27*$D$9*(1+$D$10)+$D$11+$D$12-$D$13</f>
        <v>454.25</v>
      </c>
    </row>
    <row r="28" spans="2:11">
      <c r="C28" s="83">
        <f>$D$7+(2)*$D$8</f>
        <v>10</v>
      </c>
      <c r="D28" s="57">
        <f>(D$23-$D$14*MAX(0,D$23-$I28))/$I28</f>
        <v>1.46335997453871</v>
      </c>
      <c r="E28" s="57">
        <f>(E$23-$D$14*MAX(0,E$23-$I28))/$I28</f>
        <v>1.59458075219055</v>
      </c>
      <c r="F28" s="57">
        <f>(F$23-$D$14*MAX(0,F$23-$I28))/$I28</f>
        <v>1.7258015298424</v>
      </c>
      <c r="G28" s="57">
        <f>(G$23-$D$14*MAX(0,G$23-$I28))/$I28</f>
        <v>1.85702230749424</v>
      </c>
      <c r="H28" s="57">
        <f>(H$23-$D$14*MAX(0,H$23-$I28))/$I28</f>
        <v>1.98824308514608</v>
      </c>
      <c r="I28" s="82">
        <f>C28*$D$9*(1+$D$10)+$D$11+$D$12-$D$13</f>
        <v>505.25</v>
      </c>
    </row>
    <row r="32" spans="2:11">
      <c r="B32" s="8" t="s">
        <v>257</v>
      </c>
      <c r="C32" s="8"/>
      <c r="D32" s="8"/>
      <c r="E32" s="8"/>
      <c r="F32" s="8"/>
      <c r="G32" s="8"/>
      <c r="H32" s="8"/>
      <c r="I32" s="8"/>
    </row>
    <row r="33" spans="2:9">
      <c r="B33" s="5" t="s">
        <v>212</v>
      </c>
      <c r="C33" s="56" t="s">
        <v>255</v>
      </c>
      <c r="D33" s="81">
        <f>D22</f>
        <v>8</v>
      </c>
      <c r="E33" s="81">
        <f>E22</f>
        <v>8.5</v>
      </c>
      <c r="F33" s="81">
        <f>F22</f>
        <v>9</v>
      </c>
      <c r="G33" s="81">
        <f>G22</f>
        <v>9.5</v>
      </c>
      <c r="H33" s="81">
        <f>H22</f>
        <v>10</v>
      </c>
    </row>
    <row r="34" spans="2:9">
      <c r="C34" s="83">
        <f>C24</f>
        <v>8</v>
      </c>
      <c r="D34" s="25">
        <f>IF(D24&lt;=0,-1,D24^(1/$D$5)-1)</f>
        <v>0.193381961724914</v>
      </c>
      <c r="E34" s="25">
        <f>IF(E24&lt;=0,-1,E24^(1/$D$5)-1)</f>
        <v>0.21433487605066</v>
      </c>
      <c r="F34" s="25">
        <f>IF(F24&lt;=0,-1,F24^(1/$D$5)-1)</f>
        <v>0.233934134918765</v>
      </c>
      <c r="G34" s="25">
        <f>IF(G24&lt;=0,-1,G24^(1/$D$5)-1)</f>
        <v>0.252361905063618</v>
      </c>
      <c r="H34" s="25">
        <f>IF(H24&lt;=0,-1,H24^(1/$D$5)-1)</f>
        <v>0.269764854528263</v>
      </c>
    </row>
    <row r="35" spans="2:9">
      <c r="C35" s="83">
        <f>C25</f>
        <v>8.5</v>
      </c>
      <c r="D35" s="25">
        <f>IF(D25&lt;=0,-1,D25^(1/$D$5)-1)</f>
        <v>0.157438460909609</v>
      </c>
      <c r="E35" s="25">
        <f>IF(E25&lt;=0,-1,E25^(1/$D$5)-1)</f>
        <v>0.177691867043172</v>
      </c>
      <c r="F35" s="25">
        <f>IF(F25&lt;=0,-1,F25^(1/$D$5)-1)</f>
        <v>0.196640865795558</v>
      </c>
      <c r="G35" s="25">
        <f>IF(G25&lt;=0,-1,G25^(1/$D$5)-1)</f>
        <v>0.214460492162799</v>
      </c>
      <c r="H35" s="25">
        <f>IF(H25&lt;=0,-1,H25^(1/$D$5)-1)</f>
        <v>0.231291763472959</v>
      </c>
    </row>
    <row r="36" spans="2:9">
      <c r="C36" s="83">
        <f>C26</f>
        <v>9</v>
      </c>
      <c r="D36" s="25">
        <f>IF(D26&lt;=0,-1,D26^(1/$D$5)-1)</f>
        <v>0.127341279079229</v>
      </c>
      <c r="E36" s="25">
        <f>IF(E26&lt;=0,-1,E26^(1/$D$5)-1)</f>
        <v>0.147001830535449</v>
      </c>
      <c r="F36" s="25">
        <f>IF(F26&lt;=0,-1,F26^(1/$D$5)-1)</f>
        <v>0.16540007051389</v>
      </c>
      <c r="G36" s="25">
        <f>IF(G26&lt;=0,-1,G26^(1/$D$5)-1)</f>
        <v>0.182704900114084</v>
      </c>
      <c r="H36" s="25">
        <f>IF(H26&lt;=0,-1,H26^(1/$D$5)-1)</f>
        <v>0.199052482474372</v>
      </c>
    </row>
    <row r="37" spans="2:9">
      <c r="C37" s="83">
        <f>C27</f>
        <v>9.5</v>
      </c>
      <c r="D37" s="25">
        <f>IF(D27&lt;=0,-1,D27^(1/$D$5)-1)</f>
        <v>0.101570824105581</v>
      </c>
      <c r="E37" s="25">
        <f>IF(E27&lt;=0,-1,E27^(1/$D$5)-1)</f>
        <v>0.120717691553557</v>
      </c>
      <c r="F37" s="25">
        <f>IF(F27&lt;=0,-1,F27^(1/$D$5)-1)</f>
        <v>0.138639016475624</v>
      </c>
      <c r="G37" s="25">
        <f>IF(G27&lt;=0,-1,G27^(1/$D$5)-1)</f>
        <v>0.155498311843762</v>
      </c>
      <c r="H37" s="25">
        <f>IF(H27&lt;=0,-1,H27^(1/$D$5)-1)</f>
        <v>0.171427481395526</v>
      </c>
    </row>
    <row r="38" spans="2:9">
      <c r="C38" s="83">
        <f>C28</f>
        <v>10</v>
      </c>
      <c r="D38" s="25">
        <f>IF(D28&lt;=0,-1,D28^(1/$D$5)-1)</f>
        <v>0.0791212244116675</v>
      </c>
      <c r="E38" s="25">
        <f>IF(E28&lt;=0,-1,E28^(1/$D$5)-1)</f>
        <v>0.097815361562696</v>
      </c>
      <c r="F38" s="25">
        <f>IF(F28&lt;=0,-1,F28^(1/$D$5)-1)</f>
        <v>0.115316609718659</v>
      </c>
      <c r="G38" s="25">
        <f>IF(G28&lt;=0,-1,G28^(1/$D$5)-1)</f>
        <v>0.131783671937682</v>
      </c>
      <c r="H38" s="25">
        <f>IF(H28&lt;=0,-1,H28^(1/$D$5)-1)</f>
        <v>0.147344653297307</v>
      </c>
    </row>
    <row r="44" spans="2:9">
      <c r="B44" s="8" t="s">
        <v>258</v>
      </c>
      <c r="C44" s="8"/>
      <c r="D44" s="8"/>
      <c r="E44" s="8"/>
      <c r="F44" s="8"/>
      <c r="G44" s="8"/>
      <c r="H44" s="8"/>
      <c r="I44" s="8"/>
    </row>
    <row r="45" spans="2:9">
      <c r="B45" s="5" t="s">
        <v>211</v>
      </c>
      <c r="C45" s="56" t="s">
        <v>259</v>
      </c>
      <c r="D45" s="84">
        <v>3</v>
      </c>
      <c r="E45" s="84">
        <v>4</v>
      </c>
      <c r="F45" s="84">
        <v>5</v>
      </c>
      <c r="G45" s="84">
        <v>6</v>
      </c>
      <c r="H45" s="84">
        <v>7</v>
      </c>
    </row>
    <row r="46" spans="2:9">
      <c r="C46" s="83">
        <f>$D$6+(-2)*$D$8</f>
        <v>8</v>
      </c>
      <c r="D46" s="57">
        <f>(($C46*INDEX($E$18:$K$18,D$45)-INDEX($E$19:$K$19,D$45))-$D$14*MAX(0,($C46*INDEX($E$18:$K$18,D$45)-INDEX($E$19:$K$19,D$45))-$D$15))/$D$15</f>
        <v>1.30636721793039</v>
      </c>
      <c r="E46" s="57">
        <f>(($C46*INDEX($E$18:$K$18,E$45)-INDEX($E$19:$K$19,E$45))-$D$14*MAX(0,($C46*INDEX($E$18:$K$18,E$45)-INDEX($E$19:$K$19,E$45))-$D$15))/$D$15</f>
        <v>1.56375708489515</v>
      </c>
      <c r="F46" s="57">
        <f>(($C46*INDEX($E$18:$K$18,F$45)-INDEX($E$19:$K$19,F$45))-$D$14*MAX(0,($C46*INDEX($E$18:$K$18,F$45)-INDEX($E$19:$K$19,F$45))-$D$15))/$D$15</f>
        <v>1.82086206357268</v>
      </c>
      <c r="G46" s="57">
        <f>(($C46*INDEX($E$18:$K$18,G$45)-INDEX($E$19:$K$19,G$45))-$D$14*MAX(0,($C46*INDEX($E$18:$K$18,G$45)-INDEX($E$19:$K$19,G$45))-$D$15))/$D$15</f>
        <v>2.10366090188098</v>
      </c>
      <c r="H46" s="57">
        <f>(($C46*INDEX($E$18:$K$18,H$45)-INDEX($E$19:$K$19,H$45))-$D$14*MAX(0,($C46*INDEX($E$18:$K$18,H$45)-INDEX($E$19:$K$19,H$45))-$D$15))/$D$15</f>
        <v>2.38240748632031</v>
      </c>
    </row>
    <row r="47" spans="2:9">
      <c r="C47" s="83">
        <f>$D$6+(-1)*$D$8</f>
        <v>8.5</v>
      </c>
      <c r="D47" s="57">
        <f>(($C47*INDEX($E$18:$K$18,D$45)-INDEX($E$19:$K$19,D$45))-$D$14*MAX(0,($C47*INDEX($E$18:$K$18,D$45)-INDEX($E$19:$K$19,D$45))-$D$15))/$D$15</f>
        <v>1.45159715748402</v>
      </c>
      <c r="E47" s="57">
        <f>(($C47*INDEX($E$18:$K$18,E$45)-INDEX($E$19:$K$19,E$45))-$D$14*MAX(0,($C47*INDEX($E$18:$K$18,E$45)-INDEX($E$19:$K$19,E$45))-$D$15))/$D$15</f>
        <v>1.71913583093901</v>
      </c>
      <c r="F47" s="57">
        <f>(($C47*INDEX($E$18:$K$18,F$45)-INDEX($E$19:$K$19,F$45))-$D$14*MAX(0,($C47*INDEX($E$18:$K$18,F$45)-INDEX($E$19:$K$19,F$45))-$D$15))/$D$15</f>
        <v>1.98527445764235</v>
      </c>
      <c r="G47" s="57">
        <f>(($C47*INDEX($E$18:$K$18,G$45)-INDEX($E$19:$K$19,G$45))-$D$14*MAX(0,($C47*INDEX($E$18:$K$18,G$45)-INDEX($E$19:$K$19,G$45))-$D$15))/$D$15</f>
        <v>2.27758102982485</v>
      </c>
      <c r="H47" s="57">
        <f>(($C47*INDEX($E$18:$K$18,H$45)-INDEX($E$19:$K$19,H$45))-$D$14*MAX(0,($C47*INDEX($E$18:$K$18,H$45)-INDEX($E$19:$K$19,H$45))-$D$15))/$D$15</f>
        <v>2.56443737303909</v>
      </c>
    </row>
    <row r="48" spans="2:9">
      <c r="C48" s="83">
        <f>$D$6+(0)*$D$8</f>
        <v>9</v>
      </c>
      <c r="D48" s="57">
        <f>(($C48*INDEX($E$18:$K$18,D$45)-INDEX($E$19:$K$19,D$45))-$D$14*MAX(0,($C48*INDEX($E$18:$K$18,D$45)-INDEX($E$19:$K$19,D$45))-$D$15))/$D$15</f>
        <v>1.59682709703765</v>
      </c>
      <c r="E48" s="57">
        <f>(($C48*INDEX($E$18:$K$18,E$45)-INDEX($E$19:$K$19,E$45))-$D$14*MAX(0,($C48*INDEX($E$18:$K$18,E$45)-INDEX($E$19:$K$19,E$45))-$D$15))/$D$15</f>
        <v>1.87451457698287</v>
      </c>
      <c r="F48" s="57">
        <f>(($C48*INDEX($E$18:$K$18,F$45)-INDEX($E$19:$K$19,F$45))-$D$14*MAX(0,($C48*INDEX($E$18:$K$18,F$45)-INDEX($E$19:$K$19,F$45))-$D$15))/$D$15</f>
        <v>2.14968685171202</v>
      </c>
      <c r="G48" s="57">
        <f>(($C48*INDEX($E$18:$K$18,G$45)-INDEX($E$19:$K$19,G$45))-$D$14*MAX(0,($C48*INDEX($E$18:$K$18,G$45)-INDEX($E$19:$K$19,G$45))-$D$15))/$D$15</f>
        <v>2.45150115776871</v>
      </c>
      <c r="H48" s="57">
        <f>(($C48*INDEX($E$18:$K$18,H$45)-INDEX($E$19:$K$19,H$45))-$D$14*MAX(0,($C48*INDEX($E$18:$K$18,H$45)-INDEX($E$19:$K$19,H$45))-$D$15))/$D$15</f>
        <v>2.74646725975787</v>
      </c>
    </row>
    <row r="49" spans="2:9">
      <c r="C49" s="83">
        <f>$D$6+(1)*$D$8</f>
        <v>9.5</v>
      </c>
      <c r="D49" s="57">
        <f>(($C49*INDEX($E$18:$K$18,D$45)-INDEX($E$19:$K$19,D$45))-$D$14*MAX(0,($C49*INDEX($E$18:$K$18,D$45)-INDEX($E$19:$K$19,D$45))-$D$15))/$D$15</f>
        <v>1.74205703659127</v>
      </c>
      <c r="E49" s="57">
        <f>(($C49*INDEX($E$18:$K$18,E$45)-INDEX($E$19:$K$19,E$45))-$D$14*MAX(0,($C49*INDEX($E$18:$K$18,E$45)-INDEX($E$19:$K$19,E$45))-$D$15))/$D$15</f>
        <v>2.02989332302674</v>
      </c>
      <c r="F49" s="57">
        <f>(($C49*INDEX($E$18:$K$18,F$45)-INDEX($E$19:$K$19,F$45))-$D$14*MAX(0,($C49*INDEX($E$18:$K$18,F$45)-INDEX($E$19:$K$19,F$45))-$D$15))/$D$15</f>
        <v>2.31409924578169</v>
      </c>
      <c r="G49" s="57">
        <f>(($C49*INDEX($E$18:$K$18,G$45)-INDEX($E$19:$K$19,G$45))-$D$14*MAX(0,($C49*INDEX($E$18:$K$18,G$45)-INDEX($E$19:$K$19,G$45))-$D$15))/$D$15</f>
        <v>2.62542128571258</v>
      </c>
      <c r="H49" s="57">
        <f>(($C49*INDEX($E$18:$K$18,H$45)-INDEX($E$19:$K$19,H$45))-$D$14*MAX(0,($C49*INDEX($E$18:$K$18,H$45)-INDEX($E$19:$K$19,H$45))-$D$15))/$D$15</f>
        <v>2.92849714647665</v>
      </c>
    </row>
    <row r="50" spans="2:9">
      <c r="C50" s="83">
        <f>$D$6+(2)*$D$8</f>
        <v>10</v>
      </c>
      <c r="D50" s="57">
        <f>(($C50*INDEX($E$18:$K$18,D$45)-INDEX($E$19:$K$19,D$45))-$D$14*MAX(0,($C50*INDEX($E$18:$K$18,D$45)-INDEX($E$19:$K$19,D$45))-$D$15))/$D$15</f>
        <v>1.8872869761449</v>
      </c>
      <c r="E50" s="57">
        <f>(($C50*INDEX($E$18:$K$18,E$45)-INDEX($E$19:$K$19,E$45))-$D$14*MAX(0,($C50*INDEX($E$18:$K$18,E$45)-INDEX($E$19:$K$19,E$45))-$D$15))/$D$15</f>
        <v>2.1852720690706</v>
      </c>
      <c r="F50" s="57">
        <f>(($C50*INDEX($E$18:$K$18,F$45)-INDEX($E$19:$K$19,F$45))-$D$14*MAX(0,($C50*INDEX($E$18:$K$18,F$45)-INDEX($E$19:$K$19,F$45))-$D$15))/$D$15</f>
        <v>2.47851163985135</v>
      </c>
      <c r="G50" s="57">
        <f>(($C50*INDEX($E$18:$K$18,G$45)-INDEX($E$19:$K$19,G$45))-$D$14*MAX(0,($C50*INDEX($E$18:$K$18,G$45)-INDEX($E$19:$K$19,G$45))-$D$15))/$D$15</f>
        <v>2.79934141365645</v>
      </c>
      <c r="H50" s="57">
        <f>(($C50*INDEX($E$18:$K$18,H$45)-INDEX($E$19:$K$19,H$45))-$D$14*MAX(0,($C50*INDEX($E$18:$K$18,H$45)-INDEX($E$19:$K$19,H$45))-$D$15))/$D$15</f>
        <v>3.11052703319543</v>
      </c>
    </row>
    <row r="52" spans="2:9">
      <c r="B52" s="8" t="s">
        <v>260</v>
      </c>
      <c r="C52" s="8"/>
      <c r="D52" s="8"/>
      <c r="E52" s="8"/>
      <c r="F52" s="8"/>
      <c r="G52" s="8"/>
      <c r="H52" s="8"/>
      <c r="I52" s="8"/>
    </row>
    <row r="53" spans="2:9">
      <c r="B53" s="5" t="s">
        <v>212</v>
      </c>
      <c r="C53" s="56" t="s">
        <v>259</v>
      </c>
      <c r="D53" s="85">
        <f>D45</f>
        <v>3</v>
      </c>
      <c r="E53" s="85">
        <f>E45</f>
        <v>4</v>
      </c>
      <c r="F53" s="85">
        <f>F45</f>
        <v>5</v>
      </c>
      <c r="G53" s="85">
        <f>G45</f>
        <v>6</v>
      </c>
      <c r="H53" s="85">
        <f>H45</f>
        <v>7</v>
      </c>
    </row>
    <row r="54" spans="2:9">
      <c r="C54" s="83">
        <f>C46</f>
        <v>8</v>
      </c>
      <c r="D54" s="25">
        <f>IF(D46&lt;=0,-1,D46^(1/D$53)-1)</f>
        <v>0.0931718117292566</v>
      </c>
      <c r="E54" s="25">
        <f>IF(E46&lt;=0,-1,E46^(1/E$53)-1)</f>
        <v>0.118258795119416</v>
      </c>
      <c r="F54" s="25">
        <f>IF(F46&lt;=0,-1,F46^(1/F$53)-1)</f>
        <v>0.127341279079229</v>
      </c>
      <c r="G54" s="25">
        <f>IF(G46&lt;=0,-1,G46^(1/G$53)-1)</f>
        <v>0.131955331197817</v>
      </c>
      <c r="H54" s="25">
        <f>IF(H46&lt;=0,-1,H46^(1/H$53)-1)</f>
        <v>0.132033906627779</v>
      </c>
    </row>
    <row r="55" spans="2:9">
      <c r="C55" s="83">
        <f>C47</f>
        <v>8.5</v>
      </c>
      <c r="D55" s="25">
        <f>IF(D47&lt;=0,-1,D47^(1/D$53)-1)</f>
        <v>0.132266616946402</v>
      </c>
      <c r="E55" s="25">
        <f>IF(E47&lt;=0,-1,E47^(1/E$53)-1)</f>
        <v>0.145058165379328</v>
      </c>
      <c r="F55" s="25">
        <f>IF(F47&lt;=0,-1,F47^(1/F$53)-1)</f>
        <v>0.147001830535449</v>
      </c>
      <c r="G55" s="25">
        <f>IF(G47&lt;=0,-1,G47^(1/G$53)-1)</f>
        <v>0.14704108226961</v>
      </c>
      <c r="H55" s="25">
        <f>IF(H47&lt;=0,-1,H47^(1/H$53)-1)</f>
        <v>0.144003735348519</v>
      </c>
    </row>
    <row r="56" spans="2:9">
      <c r="C56" s="83">
        <f>C48</f>
        <v>9</v>
      </c>
      <c r="D56" s="25">
        <f>IF(D48&lt;=0,-1,D48^(1/D$53)-1)</f>
        <v>0.168833448283668</v>
      </c>
      <c r="E56" s="25">
        <f>IF(E48&lt;=0,-1,E48^(1/E$53)-1)</f>
        <v>0.170097915075871</v>
      </c>
      <c r="F56" s="25">
        <f>IF(F48&lt;=0,-1,F48^(1/F$53)-1)</f>
        <v>0.16540007051389</v>
      </c>
      <c r="G56" s="25">
        <f>IF(G48&lt;=0,-1,G48^(1/G$53)-1)</f>
        <v>0.16119551688031</v>
      </c>
      <c r="H56" s="25">
        <f>IF(H48&lt;=0,-1,H48^(1/H$53)-1)</f>
        <v>0.155266183125578</v>
      </c>
    </row>
    <row r="57" spans="2:9">
      <c r="C57" s="83">
        <f>C49</f>
        <v>9.5</v>
      </c>
      <c r="D57" s="25">
        <f>IF(D49&lt;=0,-1,D49^(1/D$53)-1)</f>
        <v>0.203245159859086</v>
      </c>
      <c r="E57" s="25">
        <f>IF(E49&lt;=0,-1,E49^(1/E$53)-1)</f>
        <v>0.193626092252967</v>
      </c>
      <c r="F57" s="25">
        <f>IF(F49&lt;=0,-1,F49^(1/F$53)-1)</f>
        <v>0.182704900114084</v>
      </c>
      <c r="G57" s="25">
        <f>IF(G49&lt;=0,-1,G49^(1/G$53)-1)</f>
        <v>0.174536453573247</v>
      </c>
      <c r="H57" s="25">
        <f>IF(H49&lt;=0,-1,H49^(1/H$53)-1)</f>
        <v>0.165906016967241</v>
      </c>
    </row>
    <row r="58" spans="2:9">
      <c r="C58" s="83">
        <f>C50</f>
        <v>10</v>
      </c>
      <c r="D58" s="25">
        <f>IF(D50&lt;=0,-1,D50^(1/D$53)-1)</f>
        <v>0.235793711654714</v>
      </c>
      <c r="E58" s="25">
        <f>IF(E50&lt;=0,-1,E50^(1/E$53)-1)</f>
        <v>0.215839864365686</v>
      </c>
      <c r="F58" s="25">
        <f>IF(F50&lt;=0,-1,F50^(1/F$53)-1)</f>
        <v>0.199052482474372</v>
      </c>
      <c r="G58" s="25">
        <f>IF(G50&lt;=0,-1,G50^(1/G$53)-1)</f>
        <v>0.187160154184534</v>
      </c>
      <c r="H58" s="25">
        <f>IF(H50&lt;=0,-1,H50^(1/H$53)-1)</f>
        <v>0.175993318583156</v>
      </c>
    </row>
    <row r="60" spans="2:9">
      <c r="B60" s="3" t="s">
        <v>261</v>
      </c>
    </row>
  </sheetData>
  <conditionalFormatting sqref="D24:H28">
    <cfRule type="colorScale" priority="1">
      <colorScale>
        <cfvo type="min" val="0"/>
        <cfvo type="percentile" val="50"/>
        <cfvo type="max" val="0"/>
        <color rgb="FFF8CBAD"/>
        <color rgb="FFFFFFFF"/>
        <color rgb="FFC6E0B4"/>
      </colorScale>
    </cfRule>
    <cfRule type="expression" dxfId="0" priority="2">
      <formula>AND(ROW()=26,COLUMN()=6)</formula>
    </cfRule>
  </conditionalFormatting>
  <conditionalFormatting sqref="D34:H38">
    <cfRule type="colorScale" priority="3">
      <colorScale>
        <cfvo type="min" val="0"/>
        <cfvo type="percentile" val="50"/>
        <cfvo type="max" val="0"/>
        <color rgb="FFF8CBAD"/>
        <color rgb="FFFFFFFF"/>
        <color rgb="FFC6E0B4"/>
      </colorScale>
    </cfRule>
    <cfRule type="expression" dxfId="0" priority="4">
      <formula>AND(ROW()=36,COLUMN()=6)</formula>
    </cfRule>
  </conditionalFormatting>
  <conditionalFormatting sqref="D46:H50">
    <cfRule type="colorScale" priority="5">
      <colorScale>
        <cfvo type="min" val="0"/>
        <cfvo type="percentile" val="50"/>
        <cfvo type="max" val="0"/>
        <color rgb="FFF8CBAD"/>
        <color rgb="FFFFFFFF"/>
        <color rgb="FFC6E0B4"/>
      </colorScale>
    </cfRule>
    <cfRule type="expression" dxfId="0" priority="6">
      <formula>AND(ROW()=48,D$45=$D$5)</formula>
    </cfRule>
  </conditionalFormatting>
  <conditionalFormatting sqref="D54:H58">
    <cfRule type="colorScale" priority="7">
      <colorScale>
        <cfvo type="min" val="0"/>
        <cfvo type="percentile" val="50"/>
        <cfvo type="max" val="0"/>
        <color rgb="FFF8CBAD"/>
        <color rgb="FFFFFFFF"/>
        <color rgb="FFC6E0B4"/>
      </colorScale>
    </cfRule>
    <cfRule type="expression" dxfId="0" priority="8">
      <formula>AND(ROW()=56,D$53=$D$5)</formula>
    </cfRule>
  </conditionalFormatting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2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62.7109375" customWidth="1"/>
    <col min="3" max="3" width="14.7109375" customWidth="1"/>
    <col min="4" max="5" width="13.28515625" customWidth="1"/>
    <col min="6" max="6" width="20.7109375" customWidth="1"/>
    <col min="7" max="11" width="13.28515625" customWidth="1"/>
  </cols>
  <sheetData>
    <row r="1" spans="2:6">
      <c r="B1" s="14" t="s">
        <v>262</v>
      </c>
    </row>
    <row r="2" spans="2:6">
      <c r="B2" s="3" t="s">
        <v>263</v>
      </c>
    </row>
    <row r="4" spans="2:6">
      <c r="B4" s="8" t="s">
        <v>264</v>
      </c>
      <c r="C4" s="49" t="s">
        <v>50</v>
      </c>
      <c r="D4" s="34" t="s">
        <v>265</v>
      </c>
      <c r="E4" s="34" t="s">
        <v>266</v>
      </c>
      <c r="F4" s="34" t="s">
        <v>267</v>
      </c>
    </row>
    <row r="5" spans="2:6">
      <c r="B5" s="10" t="s">
        <v>268</v>
      </c>
      <c r="D5" s="86">
        <f>ABS(Transaction!$D$33)</f>
        <v>0</v>
      </c>
      <c r="E5" s="87">
        <v>1E-06</v>
      </c>
      <c r="F5" s="88" t="str">
        <f>IF(ISNUMBER(D5),IF(D5&lt;=E5,"OK","ERROR"),"ERROR")</f>
        <v>OK</v>
      </c>
    </row>
    <row r="6" spans="2:6">
      <c r="B6" s="10" t="s">
        <v>269</v>
      </c>
      <c r="D6" s="86">
        <f>ABS(Transaction!$D$45-Transaction!$D$31)</f>
        <v>0</v>
      </c>
      <c r="E6" s="87">
        <v>1E-06</v>
      </c>
      <c r="F6" s="88" t="str">
        <f>IF(ISNUMBER(D6),IF(D6&lt;=E6,"OK","ERROR"),"ERROR")</f>
        <v>OK</v>
      </c>
    </row>
    <row r="7" spans="2:6">
      <c r="B7" s="10" t="s">
        <v>270</v>
      </c>
      <c r="D7" s="86">
        <f>MAX(0,-MIN(Debt!$D$34:$K$34,Debt!$D$41:$K$41,Debt!$D$46:$K$46))</f>
        <v>0</v>
      </c>
      <c r="E7" s="87">
        <v>1E-06</v>
      </c>
      <c r="F7" s="88" t="str">
        <f>IF(ISNUMBER(D7),IF(D7&lt;=E7,"OK","ERROR"),"ERROR")</f>
        <v>OK</v>
      </c>
    </row>
    <row r="8" spans="2:6">
      <c r="B8" s="10" t="s">
        <v>271</v>
      </c>
      <c r="D8" s="86">
        <f>MAX(0,Debt!$D$18-MIN(Debt!$D$28:$K$28))</f>
        <v>0</v>
      </c>
      <c r="E8" s="87">
        <v>1E-06</v>
      </c>
      <c r="F8" s="88" t="str">
        <f>IF(ISNUMBER(D8),IF(D8&lt;=E8,"OK","ERROR"),"ERROR")</f>
        <v>OK</v>
      </c>
    </row>
    <row r="9" spans="2:6">
      <c r="B9" s="10" t="s">
        <v>272</v>
      </c>
      <c r="D9" s="86">
        <f>MAX(0,MAX(Debt!$D$34:$K$34)-Debt!$D$10)</f>
        <v>0</v>
      </c>
      <c r="E9" s="87">
        <v>1E-06</v>
      </c>
      <c r="F9" s="88" t="str">
        <f>IF(ISNUMBER(D9),IF(D9&lt;=E9,"OK","ERROR"),"ERROR")</f>
        <v>OK</v>
      </c>
    </row>
    <row r="10" spans="2:6">
      <c r="B10" s="10" t="s">
        <v>273</v>
      </c>
      <c r="D10" s="86">
        <f>ABS(Debt!$K$34-(Debt!$D$34+SUM(Debt!$E$32:$K$32)-SUM(Debt!$E$33:$K$33)))</f>
        <v>0</v>
      </c>
      <c r="E10" s="87">
        <v>1E-06</v>
      </c>
      <c r="F10" s="88" t="str">
        <f>IF(ISNUMBER(D10),IF(D10&lt;=E10,"OK","ERROR"),"ERROR")</f>
        <v>OK</v>
      </c>
    </row>
    <row r="11" spans="2:6">
      <c r="B11" s="10" t="s">
        <v>274</v>
      </c>
      <c r="D11" s="86">
        <f>ABS(Debt!$K$41-(Debt!$D$41-SUM(Debt!$E$39:$K$39)-SUM(Debt!$E$40:$K$40)))</f>
        <v>0</v>
      </c>
      <c r="E11" s="87">
        <v>1E-06</v>
      </c>
      <c r="F11" s="88" t="str">
        <f>IF(ISNUMBER(D11),IF(D11&lt;=E11,"OK","ERROR"),"ERROR")</f>
        <v>OK</v>
      </c>
    </row>
    <row r="12" spans="2:6">
      <c r="B12" s="10" t="s">
        <v>275</v>
      </c>
      <c r="D12" s="86">
        <f>ABS(Debt!$K$46-(Debt!$D$46+SUM(Debt!$E$45:$K$45)))</f>
        <v>0</v>
      </c>
      <c r="E12" s="87">
        <v>1E-06</v>
      </c>
      <c r="F12" s="88" t="str">
        <f>IF(ISNUMBER(D12),IF(D12&lt;=E12,"OK","ERROR"),"ERROR")</f>
        <v>OK</v>
      </c>
    </row>
    <row r="13" spans="2:6">
      <c r="B13" s="10" t="s">
        <v>276</v>
      </c>
      <c r="D13" s="86">
        <f>ABS(Debt!$K$28-(Debt!$D$28+SUM(Debt!$E$23:$K$23)+SUM(Debt!$E$32:$K$32)-SUM(Debt!$E$33:$K$33)-SUM(Debt!$E$40:$K$40)))</f>
        <v>0</v>
      </c>
      <c r="E13" s="87">
        <v>1E-06</v>
      </c>
      <c r="F13" s="88" t="str">
        <f>IF(ISNUMBER(D13),IF(D13&lt;=E13,"OK","ERROR"),"ERROR")</f>
        <v>OK</v>
      </c>
    </row>
    <row r="14" spans="2:6">
      <c r="B14" s="10" t="s">
        <v>277</v>
      </c>
      <c r="D14" s="86">
        <f>ABS(Debt!$K$64-(Debt!$D$64-SUM(Operating!$E$42:$K$42)+SUM(Debt!$E$54:$K$54)))</f>
        <v>0</v>
      </c>
      <c r="E14" s="87">
        <v>1E-06</v>
      </c>
      <c r="F14" s="88" t="str">
        <f>IF(ISNUMBER(D14),IF(D14&lt;=E14,"OK","ERROR"),"ERROR")</f>
        <v>OK</v>
      </c>
    </row>
    <row r="15" spans="2:6">
      <c r="B15" s="10" t="s">
        <v>278</v>
      </c>
      <c r="D15" s="86">
        <f>ABS(Returns!$D$44)</f>
        <v>0</v>
      </c>
      <c r="E15" s="87">
        <v>1E-06</v>
      </c>
      <c r="F15" s="88" t="str">
        <f>IF(ISNUMBER(D15),IF(D15&lt;=E15,"OK","ERROR"),"ERROR")</f>
        <v>OK</v>
      </c>
    </row>
    <row r="16" spans="2:6">
      <c r="B16" s="10" t="s">
        <v>279</v>
      </c>
      <c r="D16" s="86">
        <f>ABS(Returns!$D$49)</f>
        <v>0</v>
      </c>
      <c r="E16" s="87">
        <v>1E-06</v>
      </c>
      <c r="F16" s="88" t="str">
        <f>IF(ISNUMBER(D16),IF(D16&lt;=E16,"OK","ERROR"),"ERROR")</f>
        <v>OK</v>
      </c>
    </row>
    <row r="17" spans="2:6">
      <c r="B17" s="10" t="s">
        <v>280</v>
      </c>
      <c r="D17" s="86">
        <f>ABS(Returns!$D$33-Returns!$D$54)</f>
        <v>0</v>
      </c>
      <c r="E17" s="87">
        <v>1E-06</v>
      </c>
      <c r="F17" s="88" t="str">
        <f>IF(ISNUMBER(D17),IF(D17&lt;=E17,"OK","ERROR"),"ERROR")</f>
        <v>OK</v>
      </c>
    </row>
    <row r="18" spans="2:6">
      <c r="B18" s="10" t="s">
        <v>281</v>
      </c>
      <c r="D18" s="86">
        <f>ABS(Sensitivity!$F$26-Returns!$D$32)</f>
        <v>0</v>
      </c>
      <c r="E18" s="87">
        <v>1E-06</v>
      </c>
      <c r="F18" s="88" t="str">
        <f>IF(ISNUMBER(D18),IF(D18&lt;=E18,"OK","ERROR"),"ERROR")</f>
        <v>OK</v>
      </c>
    </row>
    <row r="19" spans="2:6">
      <c r="B19" s="10" t="s">
        <v>282</v>
      </c>
      <c r="D19" s="86">
        <f>ABS(Sensitivity!$F$36-Returns!$D$33)</f>
        <v>0</v>
      </c>
      <c r="E19" s="87">
        <v>1E-06</v>
      </c>
      <c r="F19" s="88" t="str">
        <f>IF(ISNUMBER(D19),IF(D19&lt;=E19,"OK","ERROR"),"ERROR")</f>
        <v>OK</v>
      </c>
    </row>
    <row r="20" spans="2:6">
      <c r="B20" s="10" t="s">
        <v>283</v>
      </c>
      <c r="D20" s="86">
        <f>ABS(INDEX(Sensitivity!$D$48:$H$48,MATCH(Inputs!$D$47,Sensitivity!$D$45:$H$45,0))-Returns!$D$32)</f>
        <v>0</v>
      </c>
      <c r="E20" s="87">
        <v>1E-06</v>
      </c>
      <c r="F20" s="88" t="str">
        <f>IF(ISNUMBER(D20),IF(D20&lt;=E20,"OK","ERROR"),"ERROR")</f>
        <v>OK</v>
      </c>
    </row>
    <row r="21" spans="2:6">
      <c r="B21" s="10" t="s">
        <v>284</v>
      </c>
      <c r="D21" s="86">
        <f>ABS(INDEX(Sensitivity!$D$56:$H$56,MATCH(Inputs!$D$47,Sensitivity!$D$53:$H$53,0))-Returns!$D$33)</f>
        <v>0</v>
      </c>
      <c r="E21" s="87">
        <v>1E-06</v>
      </c>
      <c r="F21" s="88" t="str">
        <f>IF(ISNUMBER(D21),IF(D21&lt;=E21,"OK","ERROR"),"ERROR")</f>
        <v>OK</v>
      </c>
    </row>
    <row r="22" spans="2:6">
      <c r="B22" s="10" t="s">
        <v>285</v>
      </c>
      <c r="D22" s="86">
        <f>IF(AND(Inputs!$D$47&gt;=3,Inputs!$D$47&lt;=7,Inputs!$D$47=INT(Inputs!$D$47)),0,1)</f>
        <v>0</v>
      </c>
      <c r="E22" s="87">
        <v>1E-06</v>
      </c>
      <c r="F22" s="88" t="str">
        <f>IF(ISNUMBER(D22),IF(D22&lt;=E22,"OK","ERROR"),"ERROR")</f>
        <v>OK</v>
      </c>
    </row>
    <row r="23" spans="2:6">
      <c r="B23" s="10" t="s">
        <v>286</v>
      </c>
      <c r="D23" s="86">
        <f>MAX(0,Inputs!$D$26-Inputs!$D$25)</f>
        <v>0</v>
      </c>
      <c r="E23" s="87">
        <v>1E-06</v>
      </c>
      <c r="F23" s="88" t="str">
        <f>IF(ISNUMBER(D23),IF(D23&lt;=E23,"OK","ERROR"),"ERROR")</f>
        <v>OK</v>
      </c>
    </row>
    <row r="24" spans="2:6">
      <c r="B24" s="10" t="s">
        <v>287</v>
      </c>
      <c r="D24" s="86">
        <f>MAX(0,-MIN(Operating!$E$32:$K$32))</f>
        <v>0</v>
      </c>
      <c r="E24" s="87">
        <v>1E-06</v>
      </c>
      <c r="F24" s="88" t="str">
        <f>IF(ISNUMBER(D24),IF(D24&lt;=E24,"OK","ERROR"),"ERROR")</f>
        <v>OK</v>
      </c>
    </row>
    <row r="26" spans="2:6">
      <c r="B26" s="27" t="s">
        <v>288</v>
      </c>
      <c r="C26" s="28" t="s">
        <v>50</v>
      </c>
      <c r="D26" s="89">
        <f>COUNTIF(F5:F24,"ERROR")</f>
        <v>0</v>
      </c>
      <c r="E26" s="58" t="s">
        <v>289</v>
      </c>
      <c r="F26" s="90" t="str">
        <f>IF(D26=0,"ALL CHECKS PASS","CHECK FAILURES")</f>
        <v>ALL CHECKS PASS</v>
      </c>
    </row>
  </sheetData>
  <conditionalFormatting sqref="F5:F24">
    <cfRule type="cellIs" dxfId="1" priority="1" operator="equal">
      <formula>"OK"</formula>
    </cfRule>
    <cfRule type="cellIs" dxfId="2" priority="2" operator="equal">
      <formula>"ERROR"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Summary</vt:lpstr>
      <vt:lpstr>Inputs</vt:lpstr>
      <vt:lpstr>Transaction</vt:lpstr>
      <vt:lpstr>Operating</vt:lpstr>
      <vt:lpstr>Debt</vt:lpstr>
      <vt:lpstr>Returns</vt:lpstr>
      <vt:lpstr>Sensitivity</vt:lpstr>
      <vt:lpstr>Checks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Halcyon Packaging Co. LBO model</dc:title>
  <dc:creator>Adham Karim</dc:creator>
  <dc:description>Fictional company. Illustrative model.</dc:description>
  <cp:lastModifiedBy>Adham Karim</cp:lastModifiedBy>
  <dcterms:created xsi:type="dcterms:W3CDTF">2026-10-16T22:22:38Z</dcterms:created>
  <dcterms:modified xsi:type="dcterms:W3CDTF">2026-10-16T22:22:38Z</dcterms:modified>
</cp:coreProperties>
</file>